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mmercial\"/>
    </mc:Choice>
  </mc:AlternateContent>
  <xr:revisionPtr revIDLastSave="0" documentId="13_ncr:1_{CE4F8EF4-75C0-4C37-850F-77D98C6A0196}" xr6:coauthVersionLast="36" xr6:coauthVersionMax="47" xr10:uidLastSave="{00000000-0000-0000-0000-000000000000}"/>
  <bookViews>
    <workbookView xWindow="-105" yWindow="-105" windowWidth="24795" windowHeight="13440" xr2:uid="{7ABBBF0C-A890-4CE1-8AA6-A6CA36C6E05E}"/>
  </bookViews>
  <sheets>
    <sheet name="Param" sheetId="1" r:id="rId1"/>
    <sheet name="AGA" sheetId="2" r:id="rId2"/>
    <sheet name="Courtier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3" i="3" l="1"/>
  <c r="F52" i="3"/>
  <c r="F51" i="3"/>
  <c r="F42" i="2"/>
  <c r="F39" i="2"/>
  <c r="F41" i="2"/>
  <c r="D64" i="2" l="1"/>
  <c r="D63" i="2"/>
  <c r="E62" i="2"/>
  <c r="E61" i="2"/>
  <c r="E60" i="2"/>
  <c r="E59" i="2"/>
  <c r="E58" i="2"/>
  <c r="E57" i="2"/>
  <c r="F56" i="2"/>
  <c r="F65" i="2" s="1"/>
  <c r="D31" i="2" s="1"/>
  <c r="F31" i="2" s="1"/>
  <c r="C38" i="2"/>
  <c r="E37" i="2"/>
  <c r="D37" i="2"/>
  <c r="D38" i="2" s="1"/>
  <c r="E36" i="2"/>
  <c r="D36" i="2"/>
  <c r="E35" i="2"/>
  <c r="D35" i="2"/>
  <c r="F35" i="2" s="1"/>
  <c r="E34" i="2"/>
  <c r="D34" i="2"/>
  <c r="E30" i="2"/>
  <c r="C27" i="2"/>
  <c r="D26" i="2"/>
  <c r="G25" i="2"/>
  <c r="E25" i="2"/>
  <c r="D25" i="2"/>
  <c r="E24" i="2"/>
  <c r="D24" i="2"/>
  <c r="E23" i="2"/>
  <c r="D23" i="2"/>
  <c r="F23" i="2" s="1"/>
  <c r="C21" i="2"/>
  <c r="E20" i="2"/>
  <c r="D20" i="2"/>
  <c r="E19" i="2"/>
  <c r="D19" i="2"/>
  <c r="E18" i="2"/>
  <c r="D18" i="2"/>
  <c r="F18" i="2" s="1"/>
  <c r="E17" i="2"/>
  <c r="D17" i="2"/>
  <c r="C15" i="2"/>
  <c r="E14" i="2"/>
  <c r="D14" i="2"/>
  <c r="F14" i="2" s="1"/>
  <c r="E13" i="2"/>
  <c r="D13" i="2"/>
  <c r="F13" i="2" s="1"/>
  <c r="E12" i="2"/>
  <c r="D12" i="2"/>
  <c r="D56" i="1"/>
  <c r="D57" i="1"/>
  <c r="D58" i="1"/>
  <c r="D59" i="1"/>
  <c r="D60" i="1"/>
  <c r="D61" i="1"/>
  <c r="D62" i="1"/>
  <c r="D63" i="1"/>
  <c r="D64" i="1"/>
  <c r="D55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8" i="1"/>
  <c r="D37" i="1"/>
  <c r="D33" i="1"/>
  <c r="D34" i="1"/>
  <c r="D35" i="1"/>
  <c r="D36" i="1"/>
  <c r="D32" i="1"/>
  <c r="D15" i="1"/>
  <c r="D16" i="1"/>
  <c r="D17" i="1"/>
  <c r="D18" i="1"/>
  <c r="D19" i="1"/>
  <c r="D20" i="1"/>
  <c r="D21" i="1"/>
  <c r="D22" i="1"/>
  <c r="D23" i="1"/>
  <c r="D24" i="1"/>
  <c r="D25" i="1"/>
  <c r="D14" i="1"/>
  <c r="F24" i="2" l="1"/>
  <c r="E65" i="2"/>
  <c r="D65" i="2"/>
  <c r="F20" i="2"/>
  <c r="F17" i="2"/>
  <c r="F37" i="2"/>
  <c r="E21" i="2"/>
  <c r="F36" i="2"/>
  <c r="F19" i="2"/>
  <c r="F21" i="2" s="1"/>
  <c r="F34" i="2"/>
  <c r="F25" i="2"/>
  <c r="E27" i="2"/>
  <c r="D15" i="2"/>
  <c r="E15" i="2"/>
  <c r="E29" i="2"/>
  <c r="E32" i="2" s="1"/>
  <c r="D29" i="2"/>
  <c r="C32" i="2"/>
  <c r="C39" i="2" s="1"/>
  <c r="C42" i="2" s="1"/>
  <c r="E38" i="2"/>
  <c r="D21" i="2"/>
  <c r="D30" i="2"/>
  <c r="F30" i="2" s="1"/>
  <c r="D27" i="2"/>
  <c r="F12" i="2"/>
  <c r="F15" i="2" s="1"/>
  <c r="F27" i="2" l="1"/>
  <c r="F38" i="2"/>
  <c r="E39" i="2"/>
  <c r="F29" i="2"/>
  <c r="F32" i="2" s="1"/>
  <c r="D32" i="2"/>
  <c r="D39" i="2" s="1"/>
  <c r="F47" i="2" l="1"/>
</calcChain>
</file>

<file path=xl/sharedStrings.xml><?xml version="1.0" encoding="utf-8"?>
<sst xmlns="http://schemas.openxmlformats.org/spreadsheetml/2006/main" count="297" uniqueCount="218">
  <si>
    <t>Code</t>
  </si>
  <si>
    <t>Branches d'assurances</t>
  </si>
  <si>
    <t>3.1.0.1</t>
  </si>
  <si>
    <t>6.1.1.0</t>
  </si>
  <si>
    <t>Corps de navire de commerce</t>
  </si>
  <si>
    <t>6.1.2.0</t>
  </si>
  <si>
    <t>Corps de navire de pêche</t>
  </si>
  <si>
    <t>6.1.3.0</t>
  </si>
  <si>
    <t>Corps de Bateaux de plaisance</t>
  </si>
  <si>
    <t>6.1.4.0</t>
  </si>
  <si>
    <t>Corps de navire en construction</t>
  </si>
  <si>
    <t>6.1.5.0</t>
  </si>
  <si>
    <t>Engins portuaires</t>
  </si>
  <si>
    <t>6.1</t>
  </si>
  <si>
    <t>Vehicules Maritimes</t>
  </si>
  <si>
    <t>6.2</t>
  </si>
  <si>
    <t>Vehicules Lacustres</t>
  </si>
  <si>
    <t>7.1</t>
  </si>
  <si>
    <t>Terrestres</t>
  </si>
  <si>
    <t>7.3</t>
  </si>
  <si>
    <t>Aériens</t>
  </si>
  <si>
    <t>7.4</t>
  </si>
  <si>
    <t>Maritimes</t>
  </si>
  <si>
    <t>8.1.1.0</t>
  </si>
  <si>
    <t>Incendie et risques annexes (R. Industriels)</t>
  </si>
  <si>
    <t>8.1.2.0</t>
  </si>
  <si>
    <t>Incendie (R. Simple)</t>
  </si>
  <si>
    <t>8.1.2.1</t>
  </si>
  <si>
    <t>Multirisques habitation</t>
  </si>
  <si>
    <t>8.1.2.2</t>
  </si>
  <si>
    <t>Multirisques professionnelle</t>
  </si>
  <si>
    <t>8.1.2.3</t>
  </si>
  <si>
    <t>Multirisques immeubles</t>
  </si>
  <si>
    <t>Incendie</t>
  </si>
  <si>
    <t>8.4.1.0</t>
  </si>
  <si>
    <t xml:space="preserve">Tremblements de terre </t>
  </si>
  <si>
    <t>8.4.2.0</t>
  </si>
  <si>
    <t>Inondations</t>
  </si>
  <si>
    <t>8.4.3.0</t>
  </si>
  <si>
    <t>Autres éléments naturels</t>
  </si>
  <si>
    <t>8.4.3.1</t>
  </si>
  <si>
    <t>CAT NAT (Ass. Obligatoire)</t>
  </si>
  <si>
    <t>9.1</t>
  </si>
  <si>
    <t>Dégâts des eaux</t>
  </si>
  <si>
    <t>9.2</t>
  </si>
  <si>
    <t>Bris de Glaces</t>
  </si>
  <si>
    <t>9.3.1.0</t>
  </si>
  <si>
    <t>Vol sur la Personne</t>
  </si>
  <si>
    <t>9.3.2.0</t>
  </si>
  <si>
    <t>Vol de Marchandises</t>
  </si>
  <si>
    <t>9.3.3.0</t>
  </si>
  <si>
    <t>Vol en Coffre</t>
  </si>
  <si>
    <t>Vol</t>
  </si>
  <si>
    <t>9.4.0.0</t>
  </si>
  <si>
    <t>Tous Risques Chantiers</t>
  </si>
  <si>
    <t>9.4.0.1</t>
  </si>
  <si>
    <t>Tous Risques Montage</t>
  </si>
  <si>
    <t>9.5.1.0</t>
  </si>
  <si>
    <t>Bris de Machine</t>
  </si>
  <si>
    <t>9.5.2.0</t>
  </si>
  <si>
    <t>Tous Risques Informatiques</t>
  </si>
  <si>
    <t>9.5.3.0</t>
  </si>
  <si>
    <t>Accidents aux appareils électriques</t>
  </si>
  <si>
    <t>9.5.3.1</t>
  </si>
  <si>
    <t>Entrepôts frigorifiques</t>
  </si>
  <si>
    <t>9.5.3.2</t>
  </si>
  <si>
    <t>Tous risques appareils</t>
  </si>
  <si>
    <t>9.5.3.3</t>
  </si>
  <si>
    <t>Tous risques films</t>
  </si>
  <si>
    <t>9.5.3.4</t>
  </si>
  <si>
    <t>Autres dommages aux biens</t>
  </si>
  <si>
    <t>9.5.4.0</t>
  </si>
  <si>
    <t>Engins de Chantiers</t>
  </si>
  <si>
    <t>10.2</t>
  </si>
  <si>
    <t>RC. Du Transporteur</t>
  </si>
  <si>
    <t>11.3</t>
  </si>
  <si>
    <t>RC contrôleur du trafic aérien</t>
  </si>
  <si>
    <t>11.4</t>
  </si>
  <si>
    <t>RC avitaillement aéronefs</t>
  </si>
  <si>
    <t>13.1</t>
  </si>
  <si>
    <t>RC. Générale</t>
  </si>
  <si>
    <t>13.2</t>
  </si>
  <si>
    <t>RC. Professionnelle</t>
  </si>
  <si>
    <t>13.3</t>
  </si>
  <si>
    <t>RC. Produits Livrés</t>
  </si>
  <si>
    <t>13.4</t>
  </si>
  <si>
    <t>RC. Construction</t>
  </si>
  <si>
    <t>13.5</t>
  </si>
  <si>
    <t>RC. Décennale</t>
  </si>
  <si>
    <t>13.6</t>
  </si>
  <si>
    <t>Autres Responsabilités civiles</t>
  </si>
  <si>
    <t>16.0</t>
  </si>
  <si>
    <t>Pertes d'exploitations</t>
  </si>
  <si>
    <t>16.11</t>
  </si>
  <si>
    <t xml:space="preserve">Autres pertes </t>
  </si>
  <si>
    <t xml:space="preserve">Automobile </t>
  </si>
  <si>
    <t>VRC</t>
  </si>
  <si>
    <t>VRCR</t>
  </si>
  <si>
    <t>VASS</t>
  </si>
  <si>
    <t>Assistance</t>
  </si>
  <si>
    <t>Bris De Glaces</t>
  </si>
  <si>
    <t>Dommages Collisions</t>
  </si>
  <si>
    <t>Défense Et Recours</t>
  </si>
  <si>
    <t>Incendie de V؟©hicule</t>
  </si>
  <si>
    <t>Vol de V؟©hicule</t>
  </si>
  <si>
    <t>Personnes Transportées</t>
  </si>
  <si>
    <t>Responsabilité Civile</t>
  </si>
  <si>
    <t>Responsabilité Civile Remorque</t>
  </si>
  <si>
    <t>Tous Risques</t>
  </si>
  <si>
    <t>Vol Autoradio</t>
  </si>
  <si>
    <t>VBDG</t>
  </si>
  <si>
    <t>VDC</t>
  </si>
  <si>
    <t>VDR</t>
  </si>
  <si>
    <t>VINV</t>
  </si>
  <si>
    <t>VOLV</t>
  </si>
  <si>
    <t>VPT</t>
  </si>
  <si>
    <t>VTR</t>
  </si>
  <si>
    <t>VVA</t>
  </si>
  <si>
    <t>CANAT</t>
  </si>
  <si>
    <t>MPBDG</t>
  </si>
  <si>
    <t>MPDE</t>
  </si>
  <si>
    <t>MPINC</t>
  </si>
  <si>
    <t>MPRC</t>
  </si>
  <si>
    <t>MPRP</t>
  </si>
  <si>
    <t>MPVOL</t>
  </si>
  <si>
    <t>Degats Des Eaux</t>
  </si>
  <si>
    <t>RC Exploitation</t>
  </si>
  <si>
    <t>Rc Professionnelle</t>
  </si>
  <si>
    <t>RVAC</t>
  </si>
  <si>
    <t>RVTR</t>
  </si>
  <si>
    <t>Accidents Caractèrisés</t>
  </si>
  <si>
    <t>VRCE</t>
  </si>
  <si>
    <t>Responsabilité Civile à L'étranger</t>
  </si>
  <si>
    <t>9.6.4  -  Mortalité du bétail</t>
  </si>
  <si>
    <t>9.6.1  -  Assurance Grele</t>
  </si>
  <si>
    <t>9.6.8.9  -  Assurance Materiel Agricole Roula</t>
  </si>
  <si>
    <t>9.6.8.1  -  Multirisques Serres</t>
  </si>
  <si>
    <t>9.6.8.2  -  Assurance Incendie Des Recoltes</t>
  </si>
  <si>
    <t>9.6.8.3  -  Multirisques Pomme de Terre</t>
  </si>
  <si>
    <t>9.6</t>
  </si>
  <si>
    <t>Assurance agricole</t>
  </si>
  <si>
    <t>9.7</t>
  </si>
  <si>
    <t>9.8</t>
  </si>
  <si>
    <t>9.9</t>
  </si>
  <si>
    <t>9.10</t>
  </si>
  <si>
    <t>9.11</t>
  </si>
  <si>
    <t>9.12</t>
  </si>
  <si>
    <t>9.6.8.10  -  Assurance aquacole</t>
  </si>
  <si>
    <t xml:space="preserve">Apport courtier </t>
  </si>
  <si>
    <t xml:space="preserve">apport AGA </t>
  </si>
  <si>
    <t xml:space="preserve">gestion AGA </t>
  </si>
  <si>
    <t xml:space="preserve">limite a 300 000 000,00DA </t>
  </si>
  <si>
    <t>LA LIMITE 5 000 000 000,00 DA</t>
  </si>
  <si>
    <t>apport</t>
  </si>
  <si>
    <t xml:space="preserve">gestion </t>
  </si>
  <si>
    <t xml:space="preserve">Transports Maririmes </t>
  </si>
  <si>
    <t xml:space="preserve">Corps </t>
  </si>
  <si>
    <t xml:space="preserve">facultés </t>
  </si>
  <si>
    <t xml:space="preserve">ariens </t>
  </si>
  <si>
    <t xml:space="preserve">trrestre </t>
  </si>
  <si>
    <t xml:space="preserve">Risues Idustriels </t>
  </si>
  <si>
    <t xml:space="preserve">Incendie </t>
  </si>
  <si>
    <t xml:space="preserve">Resp Civils </t>
  </si>
  <si>
    <t xml:space="preserve">Engineering </t>
  </si>
  <si>
    <t xml:space="preserve">TRC </t>
  </si>
  <si>
    <t xml:space="preserve">Risques simples </t>
  </si>
  <si>
    <t xml:space="preserve">risques Divers </t>
  </si>
  <si>
    <t xml:space="preserve">Multirisques </t>
  </si>
  <si>
    <t xml:space="preserve">CAT/NAT </t>
  </si>
  <si>
    <t>Assisatence MH-MP</t>
  </si>
  <si>
    <t xml:space="preserve">AUTO </t>
  </si>
  <si>
    <t xml:space="preserve">RESpon Civile </t>
  </si>
  <si>
    <t xml:space="preserve">Garanties Facultative </t>
  </si>
  <si>
    <t xml:space="preserve">assistance auto </t>
  </si>
  <si>
    <t xml:space="preserve">ASS PERSON </t>
  </si>
  <si>
    <t>GROUP</t>
  </si>
  <si>
    <t xml:space="preserve">individuelles ACC </t>
  </si>
  <si>
    <t xml:space="preserve">ava </t>
  </si>
  <si>
    <t xml:space="preserve">ASSURANCE Capitalisation </t>
  </si>
  <si>
    <t>Total General</t>
  </si>
  <si>
    <t>TVA</t>
  </si>
  <si>
    <t>T TTC</t>
  </si>
  <si>
    <t>Incendie de V¿©hicule</t>
  </si>
  <si>
    <t>Vol de V¿©hicule</t>
  </si>
  <si>
    <t xml:space="preserve">SUCCURSALE SUD </t>
  </si>
  <si>
    <t xml:space="preserve">Commission AGA </t>
  </si>
  <si>
    <t xml:space="preserve">AGA : </t>
  </si>
  <si>
    <t xml:space="preserve">Code : </t>
  </si>
  <si>
    <t xml:space="preserve">Mois : </t>
  </si>
  <si>
    <t xml:space="preserve">EXERCICE : </t>
  </si>
  <si>
    <t xml:space="preserve">Branche </t>
  </si>
  <si>
    <t xml:space="preserve">Département Commercial </t>
  </si>
  <si>
    <t xml:space="preserve">Commission COURTIER </t>
  </si>
  <si>
    <t xml:space="preserve">N° FACTURE </t>
  </si>
  <si>
    <t xml:space="preserve">COURTIER : </t>
  </si>
  <si>
    <t xml:space="preserve">Affaire "client porté" : </t>
  </si>
  <si>
    <t>Prime net</t>
  </si>
  <si>
    <t>Coummission H.T.T</t>
  </si>
  <si>
    <t xml:space="preserve">TAV </t>
  </si>
  <si>
    <t>Coummission T.T.C</t>
  </si>
  <si>
    <t xml:space="preserve">RC AUTOMOBILE </t>
  </si>
  <si>
    <t xml:space="preserve">ASSISTANCE AUTOMOBILE </t>
  </si>
  <si>
    <t xml:space="preserve">AUTOMOBILE FACULTATIF </t>
  </si>
  <si>
    <t xml:space="preserve">CATNAT </t>
  </si>
  <si>
    <t xml:space="preserve">Vol </t>
  </si>
  <si>
    <t>INCENDIE</t>
  </si>
  <si>
    <t>Mortalité du bétail</t>
  </si>
  <si>
    <t xml:space="preserve"> Assurance Grele</t>
  </si>
  <si>
    <t>Assurance Materiel Agricole Roula</t>
  </si>
  <si>
    <t>Multirisques Serres</t>
  </si>
  <si>
    <t>Assurance aquacole</t>
  </si>
  <si>
    <t>Assurance Incendie Des Recoltes</t>
  </si>
  <si>
    <t>Multirisques Pomme de Terre</t>
  </si>
  <si>
    <t>CODE CLIENT</t>
  </si>
  <si>
    <t>taux d'apport</t>
  </si>
  <si>
    <t>Total HT</t>
  </si>
  <si>
    <t>Total TVA</t>
  </si>
  <si>
    <t>Total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</si>
</sst>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59">
    <xf numFmtId="0" fontId="0" fillId="0" borderId="0" xfId="0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vertical="center"/>
    </xf>
    <xf numFmtId="0" fontId="3" fillId="4" borderId="1" xfId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/>
    </xf>
    <xf numFmtId="0" fontId="3" fillId="4" borderId="1" xfId="1" applyFill="1" applyBorder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/>
    </xf>
    <xf numFmtId="10" fontId="8" fillId="6" borderId="1" xfId="2" applyNumberFormat="1" applyFont="1" applyFill="1" applyBorder="1" applyAlignment="1">
      <alignment horizontal="right" vertical="center"/>
    </xf>
    <xf numFmtId="10" fontId="8" fillId="2" borderId="1" xfId="2" applyNumberFormat="1" applyFont="1" applyFill="1" applyBorder="1" applyAlignment="1">
      <alignment horizontal="right" vertical="center"/>
    </xf>
    <xf numFmtId="10" fontId="8" fillId="3" borderId="1" xfId="2" applyNumberFormat="1" applyFont="1" applyFill="1" applyBorder="1" applyAlignment="1">
      <alignment horizontal="right" vertical="center"/>
    </xf>
    <xf numFmtId="10" fontId="10" fillId="2" borderId="1" xfId="2" applyNumberFormat="1" applyFont="1" applyFill="1" applyBorder="1" applyAlignment="1">
      <alignment horizontal="right"/>
    </xf>
    <xf numFmtId="0" fontId="11" fillId="0" borderId="0" xfId="0" applyFont="1"/>
    <xf numFmtId="0" fontId="11" fillId="4" borderId="0" xfId="0" applyFont="1" applyFill="1"/>
    <xf numFmtId="164" fontId="10" fillId="0" borderId="0" xfId="3"/>
    <xf numFmtId="164" fontId="10" fillId="0" borderId="1" xfId="3" applyBorder="1"/>
    <xf numFmtId="164" fontId="6" fillId="0" borderId="1" xfId="3" applyFont="1" applyBorder="1"/>
    <xf numFmtId="164" fontId="10" fillId="8" borderId="1" xfId="3" applyFill="1" applyBorder="1"/>
    <xf numFmtId="164" fontId="10" fillId="7" borderId="1" xfId="3" applyFill="1" applyBorder="1"/>
    <xf numFmtId="164" fontId="6" fillId="0" borderId="1" xfId="3" applyFont="1" applyFill="1" applyBorder="1"/>
    <xf numFmtId="164" fontId="10" fillId="0" borderId="1" xfId="3" applyFill="1" applyBorder="1"/>
    <xf numFmtId="164" fontId="3" fillId="0" borderId="1" xfId="3" applyFont="1" applyBorder="1"/>
    <xf numFmtId="164" fontId="0" fillId="8" borderId="2" xfId="3" applyFont="1" applyFill="1" applyBorder="1"/>
    <xf numFmtId="164" fontId="0" fillId="0" borderId="1" xfId="3" applyFont="1" applyFill="1" applyBorder="1"/>
    <xf numFmtId="164" fontId="10" fillId="0" borderId="4" xfId="3" applyBorder="1"/>
    <xf numFmtId="164" fontId="6" fillId="7" borderId="1" xfId="3" applyFont="1" applyFill="1" applyBorder="1" applyAlignment="1">
      <alignment horizontal="center"/>
    </xf>
    <xf numFmtId="164" fontId="15" fillId="0" borderId="0" xfId="3" applyFont="1"/>
    <xf numFmtId="164" fontId="12" fillId="0" borderId="0" xfId="3" applyFont="1"/>
    <xf numFmtId="164" fontId="10" fillId="0" borderId="3" xfId="3" applyBorder="1" applyAlignment="1"/>
    <xf numFmtId="164" fontId="12" fillId="0" borderId="0" xfId="3" applyFont="1" applyAlignment="1">
      <alignment horizontal="left"/>
    </xf>
    <xf numFmtId="164" fontId="12" fillId="0" borderId="1" xfId="3" applyFont="1" applyBorder="1"/>
    <xf numFmtId="0" fontId="0" fillId="0" borderId="1" xfId="0" applyBorder="1"/>
    <xf numFmtId="164" fontId="12" fillId="0" borderId="1" xfId="3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6" fillId="9" borderId="1" xfId="3" applyFont="1" applyFill="1" applyBorder="1" applyAlignment="1">
      <alignment horizontal="center" vertical="center"/>
    </xf>
    <xf numFmtId="164" fontId="12" fillId="0" borderId="0" xfId="3" applyFont="1" applyAlignment="1">
      <alignment horizontal="center"/>
    </xf>
    <xf numFmtId="164" fontId="13" fillId="9" borderId="5" xfId="3" applyFont="1" applyFill="1" applyBorder="1" applyAlignment="1">
      <alignment horizontal="center" vertical="center"/>
    </xf>
    <xf numFmtId="164" fontId="13" fillId="9" borderId="6" xfId="3" applyFont="1" applyFill="1" applyBorder="1" applyAlignment="1">
      <alignment horizontal="center" vertical="center"/>
    </xf>
    <xf numFmtId="164" fontId="13" fillId="9" borderId="7" xfId="3" applyFont="1" applyFill="1" applyBorder="1" applyAlignment="1">
      <alignment horizontal="center" vertical="center"/>
    </xf>
    <xf numFmtId="164" fontId="13" fillId="9" borderId="8" xfId="3" applyFont="1" applyFill="1" applyBorder="1" applyAlignment="1">
      <alignment horizontal="center" vertical="center"/>
    </xf>
    <xf numFmtId="164" fontId="13" fillId="9" borderId="9" xfId="3" applyFont="1" applyFill="1" applyBorder="1" applyAlignment="1">
      <alignment horizontal="center" vertical="center"/>
    </xf>
    <xf numFmtId="164" fontId="13" fillId="9" borderId="10" xfId="3" applyFont="1" applyFill="1" applyBorder="1" applyAlignment="1">
      <alignment horizontal="center" vertical="center"/>
    </xf>
    <xf numFmtId="164" fontId="13" fillId="7" borderId="11" xfId="3" applyFont="1" applyFill="1" applyBorder="1" applyAlignment="1">
      <alignment horizontal="center"/>
    </xf>
    <xf numFmtId="164" fontId="13" fillId="7" borderId="12" xfId="3" applyFont="1" applyFill="1" applyBorder="1" applyAlignment="1">
      <alignment horizontal="center"/>
    </xf>
    <xf numFmtId="164" fontId="13" fillId="7" borderId="13" xfId="3" applyFont="1" applyFill="1" applyBorder="1" applyAlignment="1">
      <alignment horizontal="center"/>
    </xf>
    <xf numFmtId="164" fontId="14" fillId="7" borderId="11" xfId="3" applyFont="1" applyFill="1" applyBorder="1" applyAlignment="1">
      <alignment horizontal="center"/>
    </xf>
    <xf numFmtId="164" fontId="14" fillId="7" borderId="12" xfId="3" applyFont="1" applyFill="1" applyBorder="1" applyAlignment="1">
      <alignment horizontal="center"/>
    </xf>
    <xf numFmtId="164" fontId="14" fillId="7" borderId="13" xfId="3" applyFont="1" applyFill="1" applyBorder="1" applyAlignment="1">
      <alignment horizontal="center"/>
    </xf>
  </cellXfs>
  <cellStyles count="4">
    <cellStyle name="Milliers" xfId="3" builtinId="3"/>
    <cellStyle name="Normal" xfId="0" builtinId="0"/>
    <cellStyle name="Normal_PLTRIM2001" xfId="1" xr:uid="{A7373A42-1519-424C-B21B-A3C571446ED5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PT%20STAT\2026\AGA\KRAOUA75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vier 2026"/>
      <sheetName val="Février 2026"/>
      <sheetName val="Mars 2026"/>
      <sheetName val="1er trimestre "/>
      <sheetName val="AVRIL 2020"/>
      <sheetName val="Mai 2020"/>
      <sheetName val="Juin 2020"/>
      <sheetName val="2eme  trimestre  (2)"/>
      <sheetName val="Juillet 2020"/>
      <sheetName val="aout2015"/>
      <sheetName val="PLAN"/>
      <sheetName val="Septembre 2015"/>
      <sheetName val="Octobre2015"/>
      <sheetName val="-09-2019"/>
      <sheetName val="Novembre2015"/>
      <sheetName val="Decembre2020"/>
      <sheetName val="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2">
          <cell r="F42">
            <v>312980.60175749997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0DD5-BAC7-4A74-962B-1C382E3D6673}">
  <dimension ref="A1:H71"/>
  <sheetViews>
    <sheetView tabSelected="1" topLeftCell="B46" workbookViewId="0">
      <selection activeCell="D65" sqref="D65:D71"/>
    </sheetView>
  </sheetViews>
  <sheetFormatPr baseColWidth="10" defaultColWidth="11.5703125" defaultRowHeight="15" x14ac:dyDescent="0.25"/>
  <cols>
    <col min="1" max="1" width="11.5703125" style="1"/>
    <col min="2" max="2" width="50.7109375" style="1" customWidth="1"/>
    <col min="3" max="3" width="9.7109375" style="1" customWidth="1"/>
    <col min="4" max="5" width="39.5703125" style="1" customWidth="1"/>
    <col min="6" max="6" width="33" style="1" customWidth="1"/>
    <col min="7" max="7" width="19.28515625" style="1" customWidth="1"/>
    <col min="8" max="16384" width="11.5703125" style="1"/>
  </cols>
  <sheetData>
    <row r="1" spans="1:7" customFormat="1" ht="18.75" x14ac:dyDescent="0.3">
      <c r="A1" s="3" t="s">
        <v>0</v>
      </c>
      <c r="B1" s="4" t="s">
        <v>1</v>
      </c>
      <c r="C1" s="4"/>
      <c r="D1" s="4"/>
      <c r="E1" s="18" t="s">
        <v>148</v>
      </c>
      <c r="F1" s="2" t="s">
        <v>149</v>
      </c>
      <c r="G1" s="2" t="s">
        <v>150</v>
      </c>
    </row>
    <row r="2" spans="1:7" customFormat="1" x14ac:dyDescent="0.25">
      <c r="A2" s="5" t="s">
        <v>2</v>
      </c>
      <c r="B2" s="6" t="s">
        <v>95</v>
      </c>
      <c r="C2" s="6" t="s">
        <v>98</v>
      </c>
      <c r="D2" s="6" t="s">
        <v>99</v>
      </c>
      <c r="E2" s="19">
        <v>7.4999999999999997E-2</v>
      </c>
      <c r="F2" s="20">
        <v>7.4999999999999997E-2</v>
      </c>
      <c r="G2" s="20">
        <v>0</v>
      </c>
    </row>
    <row r="3" spans="1:7" customFormat="1" x14ac:dyDescent="0.25">
      <c r="A3" s="5" t="s">
        <v>2</v>
      </c>
      <c r="B3" s="6" t="s">
        <v>95</v>
      </c>
      <c r="C3" s="6" t="s">
        <v>110</v>
      </c>
      <c r="D3" s="6" t="s">
        <v>100</v>
      </c>
      <c r="E3" s="19">
        <v>0.1</v>
      </c>
      <c r="F3" s="20">
        <v>0.1</v>
      </c>
      <c r="G3" s="20">
        <v>0.05</v>
      </c>
    </row>
    <row r="4" spans="1:7" customFormat="1" x14ac:dyDescent="0.25">
      <c r="A4" s="5" t="s">
        <v>2</v>
      </c>
      <c r="B4" s="6" t="s">
        <v>95</v>
      </c>
      <c r="C4" s="6" t="s">
        <v>111</v>
      </c>
      <c r="D4" s="6" t="s">
        <v>101</v>
      </c>
      <c r="E4" s="19">
        <v>0.1</v>
      </c>
      <c r="F4" s="20">
        <v>0.1</v>
      </c>
      <c r="G4" s="20">
        <v>0.05</v>
      </c>
    </row>
    <row r="5" spans="1:7" customFormat="1" x14ac:dyDescent="0.25">
      <c r="A5" s="5" t="s">
        <v>2</v>
      </c>
      <c r="B5" s="6" t="s">
        <v>95</v>
      </c>
      <c r="C5" s="6" t="s">
        <v>112</v>
      </c>
      <c r="D5" s="6" t="s">
        <v>102</v>
      </c>
      <c r="E5" s="19">
        <v>0.1</v>
      </c>
      <c r="F5" s="20">
        <v>0.1</v>
      </c>
      <c r="G5" s="20">
        <v>0.05</v>
      </c>
    </row>
    <row r="6" spans="1:7" customFormat="1" x14ac:dyDescent="0.25">
      <c r="A6" s="5" t="s">
        <v>2</v>
      </c>
      <c r="B6" s="6" t="s">
        <v>95</v>
      </c>
      <c r="C6" s="6" t="s">
        <v>113</v>
      </c>
      <c r="D6" s="6" t="s">
        <v>103</v>
      </c>
      <c r="E6" s="19">
        <v>0.1</v>
      </c>
      <c r="F6" s="20">
        <v>0.1</v>
      </c>
      <c r="G6" s="20">
        <v>0.05</v>
      </c>
    </row>
    <row r="7" spans="1:7" customFormat="1" x14ac:dyDescent="0.25">
      <c r="A7" s="5" t="s">
        <v>2</v>
      </c>
      <c r="B7" s="6" t="s">
        <v>95</v>
      </c>
      <c r="C7" s="6" t="s">
        <v>114</v>
      </c>
      <c r="D7" s="6" t="s">
        <v>104</v>
      </c>
      <c r="E7" s="19">
        <v>0.1</v>
      </c>
      <c r="F7" s="20">
        <v>0.1</v>
      </c>
      <c r="G7" s="20">
        <v>0.05</v>
      </c>
    </row>
    <row r="8" spans="1:7" customFormat="1" x14ac:dyDescent="0.25">
      <c r="A8" s="5" t="s">
        <v>2</v>
      </c>
      <c r="B8" s="6" t="s">
        <v>95</v>
      </c>
      <c r="C8" s="6" t="s">
        <v>115</v>
      </c>
      <c r="D8" s="6" t="s">
        <v>105</v>
      </c>
      <c r="E8" s="19">
        <v>0.1</v>
      </c>
      <c r="F8" s="20">
        <v>0.1</v>
      </c>
      <c r="G8" s="20">
        <v>0.05</v>
      </c>
    </row>
    <row r="9" spans="1:7" customFormat="1" x14ac:dyDescent="0.25">
      <c r="A9" s="5" t="s">
        <v>2</v>
      </c>
      <c r="B9" s="6" t="s">
        <v>95</v>
      </c>
      <c r="C9" s="6" t="s">
        <v>96</v>
      </c>
      <c r="D9" s="6" t="s">
        <v>106</v>
      </c>
      <c r="E9" s="19">
        <v>0.05</v>
      </c>
      <c r="F9" s="20">
        <v>0.05</v>
      </c>
      <c r="G9" s="20">
        <v>0.05</v>
      </c>
    </row>
    <row r="10" spans="1:7" customFormat="1" x14ac:dyDescent="0.25">
      <c r="A10" s="5" t="s">
        <v>2</v>
      </c>
      <c r="B10" s="6" t="s">
        <v>95</v>
      </c>
      <c r="C10" s="6" t="s">
        <v>97</v>
      </c>
      <c r="D10" s="6" t="s">
        <v>107</v>
      </c>
      <c r="E10" s="19">
        <v>0.05</v>
      </c>
      <c r="F10" s="20">
        <v>0.05</v>
      </c>
      <c r="G10" s="20">
        <v>0.05</v>
      </c>
    </row>
    <row r="11" spans="1:7" customFormat="1" x14ac:dyDescent="0.25">
      <c r="A11" s="5" t="s">
        <v>2</v>
      </c>
      <c r="B11" s="6" t="s">
        <v>95</v>
      </c>
      <c r="C11" s="6" t="s">
        <v>116</v>
      </c>
      <c r="D11" s="6" t="s">
        <v>108</v>
      </c>
      <c r="E11" s="19">
        <v>0.1</v>
      </c>
      <c r="F11" s="20">
        <v>0.1</v>
      </c>
      <c r="G11" s="20">
        <v>0.05</v>
      </c>
    </row>
    <row r="12" spans="1:7" customFormat="1" x14ac:dyDescent="0.25">
      <c r="A12" s="5" t="s">
        <v>2</v>
      </c>
      <c r="B12" s="6" t="s">
        <v>95</v>
      </c>
      <c r="C12" s="6" t="s">
        <v>117</v>
      </c>
      <c r="D12" s="6" t="s">
        <v>109</v>
      </c>
      <c r="E12" s="19">
        <v>0.1</v>
      </c>
      <c r="F12" s="20">
        <v>0.1</v>
      </c>
      <c r="G12" s="20">
        <v>0.05</v>
      </c>
    </row>
    <row r="13" spans="1:7" customFormat="1" x14ac:dyDescent="0.25">
      <c r="A13" s="5" t="s">
        <v>2</v>
      </c>
      <c r="B13" s="6" t="s">
        <v>95</v>
      </c>
      <c r="C13" s="6" t="s">
        <v>131</v>
      </c>
      <c r="D13" s="6" t="s">
        <v>132</v>
      </c>
      <c r="E13" s="19">
        <v>0.05</v>
      </c>
      <c r="F13" s="20">
        <v>0.05</v>
      </c>
      <c r="G13" s="20">
        <v>0.05</v>
      </c>
    </row>
    <row r="14" spans="1:7" customFormat="1" x14ac:dyDescent="0.25">
      <c r="A14" s="7" t="s">
        <v>3</v>
      </c>
      <c r="B14" s="8" t="s">
        <v>4</v>
      </c>
      <c r="C14" s="8"/>
      <c r="D14" s="8" t="str">
        <f>B14</f>
        <v>Corps de navire de commerce</v>
      </c>
      <c r="E14" s="19">
        <v>0.03</v>
      </c>
      <c r="F14" s="20">
        <v>0.03</v>
      </c>
      <c r="G14" s="20">
        <v>0.04</v>
      </c>
    </row>
    <row r="15" spans="1:7" customFormat="1" x14ac:dyDescent="0.25">
      <c r="A15" s="7" t="s">
        <v>5</v>
      </c>
      <c r="B15" s="8" t="s">
        <v>6</v>
      </c>
      <c r="C15" s="8"/>
      <c r="D15" s="8" t="str">
        <f t="shared" ref="D15:D25" si="0">B15</f>
        <v>Corps de navire de pêche</v>
      </c>
      <c r="E15" s="19">
        <v>0.03</v>
      </c>
      <c r="F15" s="20">
        <v>0.03</v>
      </c>
      <c r="G15" s="20">
        <v>0.04</v>
      </c>
    </row>
    <row r="16" spans="1:7" customFormat="1" x14ac:dyDescent="0.25">
      <c r="A16" s="7" t="s">
        <v>7</v>
      </c>
      <c r="B16" s="8" t="s">
        <v>8</v>
      </c>
      <c r="C16" s="8"/>
      <c r="D16" s="8" t="str">
        <f t="shared" si="0"/>
        <v>Corps de Bateaux de plaisance</v>
      </c>
      <c r="E16" s="19">
        <v>0.03</v>
      </c>
      <c r="F16" s="20">
        <v>0.03</v>
      </c>
      <c r="G16" s="20">
        <v>0.04</v>
      </c>
    </row>
    <row r="17" spans="1:7" customFormat="1" x14ac:dyDescent="0.25">
      <c r="A17" s="7" t="s">
        <v>9</v>
      </c>
      <c r="B17" s="8" t="s">
        <v>10</v>
      </c>
      <c r="C17" s="8"/>
      <c r="D17" s="8" t="str">
        <f t="shared" si="0"/>
        <v>Corps de navire en construction</v>
      </c>
      <c r="E17" s="19">
        <v>0.03</v>
      </c>
      <c r="F17" s="20">
        <v>0.03</v>
      </c>
      <c r="G17" s="20">
        <v>0.04</v>
      </c>
    </row>
    <row r="18" spans="1:7" customFormat="1" x14ac:dyDescent="0.25">
      <c r="A18" s="7" t="s">
        <v>11</v>
      </c>
      <c r="B18" s="8" t="s">
        <v>12</v>
      </c>
      <c r="C18" s="8"/>
      <c r="D18" s="8" t="str">
        <f t="shared" si="0"/>
        <v>Engins portuaires</v>
      </c>
      <c r="E18" s="19">
        <v>0.03</v>
      </c>
      <c r="F18" s="20">
        <v>0.03</v>
      </c>
      <c r="G18" s="20">
        <v>0.04</v>
      </c>
    </row>
    <row r="19" spans="1:7" customFormat="1" x14ac:dyDescent="0.25">
      <c r="A19" s="9" t="s">
        <v>13</v>
      </c>
      <c r="B19" s="10" t="s">
        <v>14</v>
      </c>
      <c r="C19" s="10"/>
      <c r="D19" s="8" t="str">
        <f t="shared" si="0"/>
        <v>Vehicules Maritimes</v>
      </c>
      <c r="E19" s="19">
        <v>0.03</v>
      </c>
      <c r="F19" s="20">
        <v>0.03</v>
      </c>
      <c r="G19" s="20">
        <v>0.04</v>
      </c>
    </row>
    <row r="20" spans="1:7" customFormat="1" x14ac:dyDescent="0.25">
      <c r="A20" s="9" t="s">
        <v>15</v>
      </c>
      <c r="B20" s="10" t="s">
        <v>16</v>
      </c>
      <c r="C20" s="10"/>
      <c r="D20" s="8" t="str">
        <f t="shared" si="0"/>
        <v>Vehicules Lacustres</v>
      </c>
      <c r="E20" s="19">
        <v>0.03</v>
      </c>
      <c r="F20" s="20">
        <v>0.03</v>
      </c>
      <c r="G20" s="20">
        <v>0.04</v>
      </c>
    </row>
    <row r="21" spans="1:7" customFormat="1" x14ac:dyDescent="0.25">
      <c r="A21" s="11" t="s">
        <v>17</v>
      </c>
      <c r="B21" s="12" t="s">
        <v>18</v>
      </c>
      <c r="C21" s="12"/>
      <c r="D21" s="8" t="str">
        <f t="shared" si="0"/>
        <v>Terrestres</v>
      </c>
      <c r="E21" s="19">
        <v>0.09</v>
      </c>
      <c r="F21" s="20">
        <v>0.09</v>
      </c>
      <c r="G21" s="20">
        <v>0.04</v>
      </c>
    </row>
    <row r="22" spans="1:7" customFormat="1" x14ac:dyDescent="0.25">
      <c r="A22" s="9" t="s">
        <v>19</v>
      </c>
      <c r="B22" s="12" t="s">
        <v>20</v>
      </c>
      <c r="C22" s="12"/>
      <c r="D22" s="8" t="str">
        <f t="shared" si="0"/>
        <v>Aériens</v>
      </c>
      <c r="E22" s="19">
        <v>0.03</v>
      </c>
      <c r="F22" s="20">
        <v>0.03</v>
      </c>
      <c r="G22" s="20">
        <v>0.04</v>
      </c>
    </row>
    <row r="23" spans="1:7" customFormat="1" x14ac:dyDescent="0.25">
      <c r="A23" s="9" t="s">
        <v>21</v>
      </c>
      <c r="B23" s="12" t="s">
        <v>22</v>
      </c>
      <c r="C23" s="12"/>
      <c r="D23" s="8" t="str">
        <f t="shared" si="0"/>
        <v>Maritimes</v>
      </c>
      <c r="E23" s="19">
        <v>0.03</v>
      </c>
      <c r="F23" s="20">
        <v>0.03</v>
      </c>
      <c r="G23" s="20">
        <v>0.04</v>
      </c>
    </row>
    <row r="24" spans="1:7" customFormat="1" x14ac:dyDescent="0.25">
      <c r="A24" s="6" t="s">
        <v>23</v>
      </c>
      <c r="B24" s="6" t="s">
        <v>24</v>
      </c>
      <c r="C24" s="6"/>
      <c r="D24" s="8" t="str">
        <f t="shared" si="0"/>
        <v>Incendie et risques annexes (R. Industriels)</v>
      </c>
      <c r="E24" s="19">
        <v>0.08</v>
      </c>
      <c r="F24" s="20">
        <v>0.08</v>
      </c>
      <c r="G24" s="20">
        <v>0.04</v>
      </c>
    </row>
    <row r="25" spans="1:7" customFormat="1" x14ac:dyDescent="0.25">
      <c r="A25" s="6" t="s">
        <v>25</v>
      </c>
      <c r="B25" s="6" t="s">
        <v>26</v>
      </c>
      <c r="C25" s="6"/>
      <c r="D25" s="8" t="str">
        <f t="shared" si="0"/>
        <v>Incendie (R. Simple)</v>
      </c>
      <c r="E25" s="19">
        <v>0.08</v>
      </c>
      <c r="F25" s="20">
        <v>0.08</v>
      </c>
      <c r="G25" s="20">
        <v>0.04</v>
      </c>
    </row>
    <row r="26" spans="1:7" customFormat="1" x14ac:dyDescent="0.25">
      <c r="A26" s="6" t="s">
        <v>27</v>
      </c>
      <c r="B26" s="6" t="s">
        <v>28</v>
      </c>
      <c r="C26" s="6" t="s">
        <v>119</v>
      </c>
      <c r="D26" s="6" t="s">
        <v>100</v>
      </c>
      <c r="E26" s="19">
        <v>0.32</v>
      </c>
      <c r="F26" s="20">
        <v>0.32</v>
      </c>
      <c r="G26" s="20">
        <v>0.16</v>
      </c>
    </row>
    <row r="27" spans="1:7" customFormat="1" x14ac:dyDescent="0.25">
      <c r="A27" s="6"/>
      <c r="B27" s="6" t="s">
        <v>28</v>
      </c>
      <c r="C27" s="6" t="s">
        <v>120</v>
      </c>
      <c r="D27" s="6" t="s">
        <v>125</v>
      </c>
      <c r="E27" s="19">
        <v>0.32</v>
      </c>
      <c r="F27" s="20">
        <v>0.32</v>
      </c>
      <c r="G27" s="20">
        <v>0.16</v>
      </c>
    </row>
    <row r="28" spans="1:7" customFormat="1" x14ac:dyDescent="0.25">
      <c r="A28" s="6"/>
      <c r="B28" s="6" t="s">
        <v>28</v>
      </c>
      <c r="C28" s="6" t="s">
        <v>121</v>
      </c>
      <c r="D28" s="6" t="s">
        <v>33</v>
      </c>
      <c r="E28" s="19">
        <v>0.32</v>
      </c>
      <c r="F28" s="20">
        <v>0.32</v>
      </c>
      <c r="G28" s="20">
        <v>0.16</v>
      </c>
    </row>
    <row r="29" spans="1:7" customFormat="1" x14ac:dyDescent="0.25">
      <c r="A29" s="6"/>
      <c r="B29" s="6" t="s">
        <v>28</v>
      </c>
      <c r="C29" s="6" t="s">
        <v>122</v>
      </c>
      <c r="D29" s="6" t="s">
        <v>126</v>
      </c>
      <c r="E29" s="19">
        <v>0.32</v>
      </c>
      <c r="F29" s="20">
        <v>0.32</v>
      </c>
      <c r="G29" s="20">
        <v>0.16</v>
      </c>
    </row>
    <row r="30" spans="1:7" customFormat="1" x14ac:dyDescent="0.25">
      <c r="A30" s="6"/>
      <c r="B30" s="6" t="s">
        <v>28</v>
      </c>
      <c r="C30" s="6" t="s">
        <v>123</v>
      </c>
      <c r="D30" s="6" t="s">
        <v>127</v>
      </c>
      <c r="E30" s="19">
        <v>0.32</v>
      </c>
      <c r="F30" s="20">
        <v>0.32</v>
      </c>
      <c r="G30" s="20">
        <v>0.16</v>
      </c>
    </row>
    <row r="31" spans="1:7" customFormat="1" x14ac:dyDescent="0.25">
      <c r="A31" s="6"/>
      <c r="B31" s="6" t="s">
        <v>28</v>
      </c>
      <c r="C31" s="6" t="s">
        <v>124</v>
      </c>
      <c r="D31" s="6" t="s">
        <v>52</v>
      </c>
      <c r="E31" s="19">
        <v>0.32</v>
      </c>
      <c r="F31" s="20">
        <v>0.32</v>
      </c>
      <c r="G31" s="20">
        <v>0.16</v>
      </c>
    </row>
    <row r="32" spans="1:7" customFormat="1" x14ac:dyDescent="0.25">
      <c r="A32" s="13" t="s">
        <v>29</v>
      </c>
      <c r="B32" s="13" t="s">
        <v>30</v>
      </c>
      <c r="C32" s="13"/>
      <c r="D32" s="13" t="str">
        <f>B32</f>
        <v>Multirisques professionnelle</v>
      </c>
      <c r="E32" s="19">
        <v>0.32</v>
      </c>
      <c r="F32" s="20">
        <v>0.32</v>
      </c>
      <c r="G32" s="20">
        <v>0.16</v>
      </c>
    </row>
    <row r="33" spans="1:8" customFormat="1" x14ac:dyDescent="0.25">
      <c r="A33" s="6" t="s">
        <v>31</v>
      </c>
      <c r="B33" s="13" t="s">
        <v>32</v>
      </c>
      <c r="C33" s="13"/>
      <c r="D33" s="13" t="str">
        <f t="shared" ref="D33:D36" si="1">B33</f>
        <v>Multirisques immeubles</v>
      </c>
      <c r="E33" s="19">
        <v>0.2</v>
      </c>
      <c r="F33" s="20">
        <v>0.32</v>
      </c>
      <c r="G33" s="20">
        <v>0.16</v>
      </c>
      <c r="H33" s="23" t="s">
        <v>152</v>
      </c>
    </row>
    <row r="34" spans="1:8" customFormat="1" x14ac:dyDescent="0.25">
      <c r="A34" s="14" t="s">
        <v>34</v>
      </c>
      <c r="B34" s="6" t="s">
        <v>35</v>
      </c>
      <c r="C34" s="6"/>
      <c r="D34" s="13" t="str">
        <f t="shared" si="1"/>
        <v xml:space="preserve">Tremblements de terre </v>
      </c>
      <c r="E34" s="19">
        <v>0.05</v>
      </c>
      <c r="F34" s="20">
        <v>0.05</v>
      </c>
      <c r="G34" s="20">
        <v>0.05</v>
      </c>
    </row>
    <row r="35" spans="1:8" customFormat="1" x14ac:dyDescent="0.25">
      <c r="A35" s="14" t="s">
        <v>36</v>
      </c>
      <c r="B35" s="6" t="s">
        <v>37</v>
      </c>
      <c r="C35" s="6"/>
      <c r="D35" s="13" t="str">
        <f t="shared" si="1"/>
        <v>Inondations</v>
      </c>
      <c r="E35" s="19">
        <v>0.05</v>
      </c>
      <c r="F35" s="20">
        <v>0.05</v>
      </c>
      <c r="G35" s="20">
        <v>0.05</v>
      </c>
    </row>
    <row r="36" spans="1:8" customFormat="1" x14ac:dyDescent="0.25">
      <c r="A36" s="14" t="s">
        <v>38</v>
      </c>
      <c r="B36" s="6" t="s">
        <v>39</v>
      </c>
      <c r="C36" s="6"/>
      <c r="D36" s="13" t="str">
        <f t="shared" si="1"/>
        <v>Autres éléments naturels</v>
      </c>
      <c r="E36" s="19">
        <v>0.05</v>
      </c>
      <c r="F36" s="20">
        <v>0.05</v>
      </c>
      <c r="G36" s="20">
        <v>0.05</v>
      </c>
    </row>
    <row r="37" spans="1:8" customFormat="1" x14ac:dyDescent="0.25">
      <c r="A37" s="14" t="s">
        <v>40</v>
      </c>
      <c r="B37" s="6" t="s">
        <v>41</v>
      </c>
      <c r="C37" s="6" t="s">
        <v>118</v>
      </c>
      <c r="D37" s="13" t="str">
        <f>C37</f>
        <v>CANAT</v>
      </c>
      <c r="E37" s="19">
        <v>0.05</v>
      </c>
      <c r="F37" s="20">
        <v>0.05</v>
      </c>
      <c r="G37" s="20">
        <v>0.05</v>
      </c>
    </row>
    <row r="38" spans="1:8" customFormat="1" x14ac:dyDescent="0.25">
      <c r="A38" s="9" t="s">
        <v>42</v>
      </c>
      <c r="B38" s="12" t="s">
        <v>43</v>
      </c>
      <c r="C38" s="12"/>
      <c r="D38" s="12" t="str">
        <f>B38</f>
        <v>Dégâts des eaux</v>
      </c>
      <c r="E38" s="19">
        <v>0.1</v>
      </c>
      <c r="F38" s="20">
        <v>0.1</v>
      </c>
      <c r="G38" s="20">
        <v>0.04</v>
      </c>
    </row>
    <row r="39" spans="1:8" customFormat="1" x14ac:dyDescent="0.25">
      <c r="A39" s="9" t="s">
        <v>44</v>
      </c>
      <c r="B39" s="12" t="s">
        <v>45</v>
      </c>
      <c r="C39" s="12"/>
      <c r="D39" s="12" t="str">
        <f t="shared" ref="D39:D52" si="2">B39</f>
        <v>Bris de Glaces</v>
      </c>
      <c r="E39" s="19">
        <v>0.1</v>
      </c>
      <c r="F39" s="20">
        <v>0.1</v>
      </c>
      <c r="G39" s="20">
        <v>0.04</v>
      </c>
    </row>
    <row r="40" spans="1:8" customFormat="1" x14ac:dyDescent="0.25">
      <c r="A40" s="14" t="s">
        <v>46</v>
      </c>
      <c r="B40" s="6" t="s">
        <v>47</v>
      </c>
      <c r="C40" s="6"/>
      <c r="D40" s="12" t="str">
        <f t="shared" si="2"/>
        <v>Vol sur la Personne</v>
      </c>
      <c r="E40" s="19">
        <v>0.1</v>
      </c>
      <c r="F40" s="20">
        <v>0.1</v>
      </c>
      <c r="G40" s="20">
        <v>0.04</v>
      </c>
    </row>
    <row r="41" spans="1:8" customFormat="1" x14ac:dyDescent="0.25">
      <c r="A41" s="14" t="s">
        <v>48</v>
      </c>
      <c r="B41" s="6" t="s">
        <v>49</v>
      </c>
      <c r="C41" s="6"/>
      <c r="D41" s="12" t="str">
        <f t="shared" si="2"/>
        <v>Vol de Marchandises</v>
      </c>
      <c r="E41" s="19">
        <v>0.1</v>
      </c>
      <c r="F41" s="20">
        <v>0.1</v>
      </c>
      <c r="G41" s="20">
        <v>0.04</v>
      </c>
    </row>
    <row r="42" spans="1:8" customFormat="1" x14ac:dyDescent="0.25">
      <c r="A42" s="14" t="s">
        <v>50</v>
      </c>
      <c r="B42" s="6" t="s">
        <v>51</v>
      </c>
      <c r="C42" s="6"/>
      <c r="D42" s="12" t="str">
        <f t="shared" si="2"/>
        <v>Vol en Coffre</v>
      </c>
      <c r="E42" s="19">
        <v>0.1</v>
      </c>
      <c r="F42" s="20">
        <v>0.1</v>
      </c>
      <c r="G42" s="20">
        <v>0.04</v>
      </c>
    </row>
    <row r="43" spans="1:8" customFormat="1" x14ac:dyDescent="0.25">
      <c r="A43" s="14" t="s">
        <v>53</v>
      </c>
      <c r="B43" s="13" t="s">
        <v>54</v>
      </c>
      <c r="C43" s="13"/>
      <c r="D43" s="12" t="str">
        <f t="shared" si="2"/>
        <v>Tous Risques Chantiers</v>
      </c>
      <c r="E43" s="19">
        <v>0.1</v>
      </c>
      <c r="F43" s="20">
        <v>0.1</v>
      </c>
      <c r="G43" s="20">
        <v>0.04</v>
      </c>
    </row>
    <row r="44" spans="1:8" customFormat="1" x14ac:dyDescent="0.25">
      <c r="A44" s="14" t="s">
        <v>55</v>
      </c>
      <c r="B44" s="13" t="s">
        <v>56</v>
      </c>
      <c r="C44" s="13"/>
      <c r="D44" s="12" t="str">
        <f t="shared" si="2"/>
        <v>Tous Risques Montage</v>
      </c>
      <c r="E44" s="19">
        <v>0.1</v>
      </c>
      <c r="F44" s="20">
        <v>0.1</v>
      </c>
      <c r="G44" s="20">
        <v>0.04</v>
      </c>
    </row>
    <row r="45" spans="1:8" customFormat="1" x14ac:dyDescent="0.25">
      <c r="A45" s="14" t="s">
        <v>57</v>
      </c>
      <c r="B45" s="6" t="s">
        <v>58</v>
      </c>
      <c r="C45" s="6"/>
      <c r="D45" s="12" t="str">
        <f t="shared" si="2"/>
        <v>Bris de Machine</v>
      </c>
      <c r="E45" s="19">
        <v>0.08</v>
      </c>
      <c r="F45" s="20">
        <v>0.08</v>
      </c>
      <c r="G45" s="20">
        <v>0.04</v>
      </c>
    </row>
    <row r="46" spans="1:8" customFormat="1" x14ac:dyDescent="0.25">
      <c r="A46" s="14" t="s">
        <v>59</v>
      </c>
      <c r="B46" s="6" t="s">
        <v>60</v>
      </c>
      <c r="C46" s="6"/>
      <c r="D46" s="12" t="str">
        <f t="shared" si="2"/>
        <v>Tous Risques Informatiques</v>
      </c>
      <c r="E46" s="19">
        <v>0.08</v>
      </c>
      <c r="F46" s="20">
        <v>0.08</v>
      </c>
      <c r="G46" s="20">
        <v>0.04</v>
      </c>
    </row>
    <row r="47" spans="1:8" customFormat="1" x14ac:dyDescent="0.25">
      <c r="A47" s="14" t="s">
        <v>61</v>
      </c>
      <c r="B47" s="6" t="s">
        <v>62</v>
      </c>
      <c r="C47" s="6"/>
      <c r="D47" s="12" t="str">
        <f t="shared" si="2"/>
        <v>Accidents aux appareils électriques</v>
      </c>
      <c r="E47" s="19">
        <v>0.08</v>
      </c>
      <c r="F47" s="20">
        <v>0.08</v>
      </c>
      <c r="G47" s="20">
        <v>0.04</v>
      </c>
    </row>
    <row r="48" spans="1:8" customFormat="1" x14ac:dyDescent="0.25">
      <c r="A48" s="14" t="s">
        <v>63</v>
      </c>
      <c r="B48" s="6" t="s">
        <v>64</v>
      </c>
      <c r="C48" s="6"/>
      <c r="D48" s="12" t="str">
        <f t="shared" si="2"/>
        <v>Entrepôts frigorifiques</v>
      </c>
      <c r="E48" s="19">
        <v>0.08</v>
      </c>
      <c r="F48" s="20">
        <v>0.08</v>
      </c>
      <c r="G48" s="20">
        <v>0.04</v>
      </c>
    </row>
    <row r="49" spans="1:7" customFormat="1" x14ac:dyDescent="0.25">
      <c r="A49" s="14" t="s">
        <v>65</v>
      </c>
      <c r="B49" s="6" t="s">
        <v>66</v>
      </c>
      <c r="C49" s="6"/>
      <c r="D49" s="12" t="str">
        <f t="shared" si="2"/>
        <v>Tous risques appareils</v>
      </c>
      <c r="E49" s="19">
        <v>0.08</v>
      </c>
      <c r="F49" s="20">
        <v>0.08</v>
      </c>
      <c r="G49" s="20">
        <v>0.04</v>
      </c>
    </row>
    <row r="50" spans="1:7" customFormat="1" x14ac:dyDescent="0.25">
      <c r="A50" s="14" t="s">
        <v>67</v>
      </c>
      <c r="B50" s="6" t="s">
        <v>68</v>
      </c>
      <c r="C50" s="6"/>
      <c r="D50" s="12" t="str">
        <f t="shared" si="2"/>
        <v>Tous risques films</v>
      </c>
      <c r="E50" s="19">
        <v>0.08</v>
      </c>
      <c r="F50" s="20">
        <v>0.08</v>
      </c>
      <c r="G50" s="20">
        <v>0.04</v>
      </c>
    </row>
    <row r="51" spans="1:7" customFormat="1" x14ac:dyDescent="0.25">
      <c r="A51" s="14" t="s">
        <v>69</v>
      </c>
      <c r="B51" s="6" t="s">
        <v>70</v>
      </c>
      <c r="C51" s="6"/>
      <c r="D51" s="12" t="str">
        <f t="shared" si="2"/>
        <v>Autres dommages aux biens</v>
      </c>
      <c r="E51" s="19">
        <v>0.08</v>
      </c>
      <c r="F51" s="20">
        <v>0.08</v>
      </c>
      <c r="G51" s="20">
        <v>0.04</v>
      </c>
    </row>
    <row r="52" spans="1:7" customFormat="1" x14ac:dyDescent="0.25">
      <c r="A52" s="14" t="s">
        <v>71</v>
      </c>
      <c r="B52" s="6" t="s">
        <v>72</v>
      </c>
      <c r="C52" s="6"/>
      <c r="D52" s="12" t="str">
        <f t="shared" si="2"/>
        <v>Engins de Chantiers</v>
      </c>
      <c r="E52" s="19">
        <v>0.08</v>
      </c>
      <c r="F52" s="20">
        <v>0.08</v>
      </c>
      <c r="G52" s="20">
        <v>0.04</v>
      </c>
    </row>
    <row r="53" spans="1:7" customFormat="1" x14ac:dyDescent="0.25">
      <c r="A53" s="15" t="s">
        <v>73</v>
      </c>
      <c r="B53" s="16" t="s">
        <v>74</v>
      </c>
      <c r="C53" s="16" t="s">
        <v>128</v>
      </c>
      <c r="D53" s="16" t="s">
        <v>130</v>
      </c>
      <c r="E53" s="19">
        <v>0.09</v>
      </c>
      <c r="F53" s="21">
        <v>0.09</v>
      </c>
      <c r="G53" s="21">
        <v>0.04</v>
      </c>
    </row>
    <row r="54" spans="1:7" customFormat="1" x14ac:dyDescent="0.25">
      <c r="A54" s="15" t="s">
        <v>73</v>
      </c>
      <c r="B54" s="16" t="s">
        <v>74</v>
      </c>
      <c r="C54" s="16" t="s">
        <v>129</v>
      </c>
      <c r="D54" s="16" t="s">
        <v>108</v>
      </c>
      <c r="E54" s="19">
        <v>0.09</v>
      </c>
      <c r="F54" s="21">
        <v>0.09</v>
      </c>
      <c r="G54" s="21">
        <v>0.04</v>
      </c>
    </row>
    <row r="55" spans="1:7" customFormat="1" x14ac:dyDescent="0.25">
      <c r="A55" s="9" t="s">
        <v>75</v>
      </c>
      <c r="B55" s="12" t="s">
        <v>76</v>
      </c>
      <c r="C55" s="12"/>
      <c r="D55" s="12" t="str">
        <f>B55</f>
        <v>RC contrôleur du trafic aérien</v>
      </c>
      <c r="E55" s="19">
        <v>0.03</v>
      </c>
      <c r="F55" s="20">
        <v>0.03</v>
      </c>
      <c r="G55" s="21">
        <v>0.04</v>
      </c>
    </row>
    <row r="56" spans="1:7" customFormat="1" x14ac:dyDescent="0.25">
      <c r="A56" s="9" t="s">
        <v>77</v>
      </c>
      <c r="B56" s="12" t="s">
        <v>78</v>
      </c>
      <c r="C56" s="12"/>
      <c r="D56" s="12" t="str">
        <f t="shared" ref="D56:D64" si="3">B56</f>
        <v>RC avitaillement aéronefs</v>
      </c>
      <c r="E56" s="19">
        <v>0.03</v>
      </c>
      <c r="F56" s="20">
        <v>0.03</v>
      </c>
      <c r="G56" s="21">
        <v>0.04</v>
      </c>
    </row>
    <row r="57" spans="1:7" customFormat="1" x14ac:dyDescent="0.25">
      <c r="A57" s="9" t="s">
        <v>79</v>
      </c>
      <c r="B57" s="12" t="s">
        <v>80</v>
      </c>
      <c r="C57" s="12"/>
      <c r="D57" s="12" t="str">
        <f t="shared" si="3"/>
        <v>RC. Générale</v>
      </c>
      <c r="E57" s="19">
        <v>0.08</v>
      </c>
      <c r="F57" s="20">
        <v>0.08</v>
      </c>
      <c r="G57" s="21">
        <v>0.04</v>
      </c>
    </row>
    <row r="58" spans="1:7" customFormat="1" x14ac:dyDescent="0.25">
      <c r="A58" s="11" t="s">
        <v>81</v>
      </c>
      <c r="B58" s="12" t="s">
        <v>82</v>
      </c>
      <c r="C58" s="12"/>
      <c r="D58" s="12" t="str">
        <f t="shared" si="3"/>
        <v>RC. Professionnelle</v>
      </c>
      <c r="E58" s="19">
        <v>0.08</v>
      </c>
      <c r="F58" s="20">
        <v>0.08</v>
      </c>
      <c r="G58" s="21">
        <v>0.04</v>
      </c>
    </row>
    <row r="59" spans="1:7" customFormat="1" x14ac:dyDescent="0.25">
      <c r="A59" s="11" t="s">
        <v>83</v>
      </c>
      <c r="B59" s="12" t="s">
        <v>84</v>
      </c>
      <c r="C59" s="12"/>
      <c r="D59" s="12" t="str">
        <f t="shared" si="3"/>
        <v>RC. Produits Livrés</v>
      </c>
      <c r="E59" s="19">
        <v>0.08</v>
      </c>
      <c r="F59" s="20">
        <v>0.08</v>
      </c>
      <c r="G59" s="21">
        <v>0.04</v>
      </c>
    </row>
    <row r="60" spans="1:7" customFormat="1" x14ac:dyDescent="0.25">
      <c r="A60" s="11" t="s">
        <v>85</v>
      </c>
      <c r="B60" s="12" t="s">
        <v>86</v>
      </c>
      <c r="C60" s="12"/>
      <c r="D60" s="12" t="str">
        <f t="shared" si="3"/>
        <v>RC. Construction</v>
      </c>
      <c r="E60" s="19">
        <v>0.08</v>
      </c>
      <c r="F60" s="20">
        <v>0.08</v>
      </c>
      <c r="G60" s="21">
        <v>0.04</v>
      </c>
    </row>
    <row r="61" spans="1:7" customFormat="1" x14ac:dyDescent="0.25">
      <c r="A61" s="11" t="s">
        <v>87</v>
      </c>
      <c r="B61" s="12" t="s">
        <v>88</v>
      </c>
      <c r="C61" s="12"/>
      <c r="D61" s="12" t="str">
        <f t="shared" si="3"/>
        <v>RC. Décennale</v>
      </c>
      <c r="E61" s="19">
        <v>0.08</v>
      </c>
      <c r="F61" s="20">
        <v>0.08</v>
      </c>
      <c r="G61" s="21">
        <v>0.04</v>
      </c>
    </row>
    <row r="62" spans="1:7" customFormat="1" x14ac:dyDescent="0.25">
      <c r="A62" s="11" t="s">
        <v>89</v>
      </c>
      <c r="B62" s="12" t="s">
        <v>90</v>
      </c>
      <c r="C62" s="12"/>
      <c r="D62" s="12" t="str">
        <f t="shared" si="3"/>
        <v>Autres Responsabilités civiles</v>
      </c>
      <c r="E62" s="19">
        <v>0.08</v>
      </c>
      <c r="F62" s="20">
        <v>0.08</v>
      </c>
      <c r="G62" s="21">
        <v>0.04</v>
      </c>
    </row>
    <row r="63" spans="1:7" customFormat="1" x14ac:dyDescent="0.25">
      <c r="A63" s="11" t="s">
        <v>91</v>
      </c>
      <c r="B63" s="12" t="s">
        <v>92</v>
      </c>
      <c r="C63" s="12"/>
      <c r="D63" s="12" t="str">
        <f t="shared" si="3"/>
        <v>Pertes d'exploitations</v>
      </c>
      <c r="E63" s="19">
        <v>0.08</v>
      </c>
      <c r="F63" s="20">
        <v>0.08</v>
      </c>
      <c r="G63" s="21">
        <v>0.04</v>
      </c>
    </row>
    <row r="64" spans="1:7" customFormat="1" x14ac:dyDescent="0.25">
      <c r="A64" s="11" t="s">
        <v>93</v>
      </c>
      <c r="B64" s="12" t="s">
        <v>94</v>
      </c>
      <c r="C64" s="12"/>
      <c r="D64" s="12" t="str">
        <f t="shared" si="3"/>
        <v xml:space="preserve">Autres pertes </v>
      </c>
      <c r="E64" s="19">
        <v>0.08</v>
      </c>
      <c r="F64" s="20">
        <v>0.08</v>
      </c>
      <c r="G64" s="21">
        <v>0.04</v>
      </c>
    </row>
    <row r="65" spans="1:8" x14ac:dyDescent="0.25">
      <c r="A65" s="17" t="s">
        <v>139</v>
      </c>
      <c r="B65" s="17" t="s">
        <v>140</v>
      </c>
      <c r="C65" s="17"/>
      <c r="D65" s="17" t="s">
        <v>133</v>
      </c>
      <c r="E65" s="19">
        <v>0.1</v>
      </c>
      <c r="F65" s="22">
        <v>0.1</v>
      </c>
      <c r="G65" s="22">
        <v>0.04</v>
      </c>
    </row>
    <row r="66" spans="1:8" x14ac:dyDescent="0.25">
      <c r="A66" s="17" t="s">
        <v>141</v>
      </c>
      <c r="B66" s="17" t="s">
        <v>140</v>
      </c>
      <c r="C66" s="17"/>
      <c r="D66" s="17" t="s">
        <v>134</v>
      </c>
      <c r="E66" s="19">
        <v>0.1</v>
      </c>
      <c r="F66" s="22">
        <v>0.1</v>
      </c>
      <c r="G66" s="22">
        <v>0.04</v>
      </c>
    </row>
    <row r="67" spans="1:8" x14ac:dyDescent="0.25">
      <c r="A67" s="17" t="s">
        <v>142</v>
      </c>
      <c r="B67" s="17" t="s">
        <v>140</v>
      </c>
      <c r="C67" s="17"/>
      <c r="D67" s="17" t="s">
        <v>135</v>
      </c>
      <c r="E67" s="19">
        <v>0.1</v>
      </c>
      <c r="F67" s="22">
        <v>0.1</v>
      </c>
      <c r="G67" s="22">
        <v>0.04</v>
      </c>
    </row>
    <row r="68" spans="1:8" x14ac:dyDescent="0.25">
      <c r="A68" s="17" t="s">
        <v>143</v>
      </c>
      <c r="B68" s="17" t="s">
        <v>140</v>
      </c>
      <c r="C68" s="17"/>
      <c r="D68" s="17" t="s">
        <v>136</v>
      </c>
      <c r="E68" s="19">
        <v>0.2</v>
      </c>
      <c r="F68" s="22">
        <v>0.2</v>
      </c>
      <c r="G68" s="22">
        <v>0.04</v>
      </c>
    </row>
    <row r="69" spans="1:8" x14ac:dyDescent="0.25">
      <c r="A69" s="17" t="s">
        <v>144</v>
      </c>
      <c r="B69" s="17" t="s">
        <v>140</v>
      </c>
      <c r="C69" s="17"/>
      <c r="D69" s="17" t="s">
        <v>147</v>
      </c>
      <c r="E69" s="19">
        <v>0.1</v>
      </c>
      <c r="F69" s="22">
        <v>0.1</v>
      </c>
      <c r="G69" s="22">
        <v>0.04</v>
      </c>
      <c r="H69" s="24" t="s">
        <v>151</v>
      </c>
    </row>
    <row r="70" spans="1:8" x14ac:dyDescent="0.25">
      <c r="A70" s="17" t="s">
        <v>145</v>
      </c>
      <c r="B70" s="17" t="s">
        <v>140</v>
      </c>
      <c r="C70" s="17"/>
      <c r="D70" s="17" t="s">
        <v>137</v>
      </c>
      <c r="E70" s="19">
        <v>0.1</v>
      </c>
      <c r="F70" s="22">
        <v>0.1</v>
      </c>
      <c r="G70" s="22">
        <v>0.04</v>
      </c>
    </row>
    <row r="71" spans="1:8" x14ac:dyDescent="0.25">
      <c r="A71" s="17" t="s">
        <v>146</v>
      </c>
      <c r="B71" s="17" t="s">
        <v>140</v>
      </c>
      <c r="C71" s="17"/>
      <c r="D71" s="17" t="s">
        <v>138</v>
      </c>
      <c r="E71" s="19">
        <v>0.2</v>
      </c>
      <c r="F71" s="22">
        <v>0.2</v>
      </c>
      <c r="G71" s="22">
        <v>0.04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517D-33AA-4CDE-BFB3-C0356B884413}">
  <dimension ref="B1:H65"/>
  <sheetViews>
    <sheetView topLeftCell="A21" workbookViewId="0">
      <selection activeCell="F43" sqref="F43"/>
    </sheetView>
  </sheetViews>
  <sheetFormatPr baseColWidth="10" defaultColWidth="14.85546875" defaultRowHeight="15" x14ac:dyDescent="0.25"/>
  <cols>
    <col min="1" max="1" width="0.42578125" style="25" customWidth="1"/>
    <col min="2" max="2" width="28.7109375" style="25" customWidth="1"/>
    <col min="3" max="3" width="24.28515625" style="25" customWidth="1"/>
    <col min="4" max="4" width="21.42578125" style="25" customWidth="1"/>
    <col min="5" max="5" width="20.7109375" style="25" customWidth="1"/>
    <col min="6" max="6" width="20.42578125" style="25" customWidth="1"/>
    <col min="7" max="7" width="15" style="25" customWidth="1"/>
    <col min="8" max="8" width="22.42578125" style="25" customWidth="1"/>
    <col min="9" max="256" width="14.85546875" style="25"/>
    <col min="257" max="257" width="0.42578125" style="25" customWidth="1"/>
    <col min="258" max="258" width="26.42578125" style="25" bestFit="1" customWidth="1"/>
    <col min="259" max="259" width="20.42578125" style="25" customWidth="1"/>
    <col min="260" max="260" width="18.42578125" style="25" customWidth="1"/>
    <col min="261" max="261" width="17" style="25" customWidth="1"/>
    <col min="262" max="262" width="19" style="25" customWidth="1"/>
    <col min="263" max="512" width="14.85546875" style="25"/>
    <col min="513" max="513" width="0.42578125" style="25" customWidth="1"/>
    <col min="514" max="514" width="26.42578125" style="25" bestFit="1" customWidth="1"/>
    <col min="515" max="515" width="20.42578125" style="25" customWidth="1"/>
    <col min="516" max="516" width="18.42578125" style="25" customWidth="1"/>
    <col min="517" max="517" width="17" style="25" customWidth="1"/>
    <col min="518" max="518" width="19" style="25" customWidth="1"/>
    <col min="519" max="768" width="14.85546875" style="25"/>
    <col min="769" max="769" width="0.42578125" style="25" customWidth="1"/>
    <col min="770" max="770" width="26.42578125" style="25" bestFit="1" customWidth="1"/>
    <col min="771" max="771" width="20.42578125" style="25" customWidth="1"/>
    <col min="772" max="772" width="18.42578125" style="25" customWidth="1"/>
    <col min="773" max="773" width="17" style="25" customWidth="1"/>
    <col min="774" max="774" width="19" style="25" customWidth="1"/>
    <col min="775" max="1024" width="14.85546875" style="25"/>
    <col min="1025" max="1025" width="0.42578125" style="25" customWidth="1"/>
    <col min="1026" max="1026" width="26.42578125" style="25" bestFit="1" customWidth="1"/>
    <col min="1027" max="1027" width="20.42578125" style="25" customWidth="1"/>
    <col min="1028" max="1028" width="18.42578125" style="25" customWidth="1"/>
    <col min="1029" max="1029" width="17" style="25" customWidth="1"/>
    <col min="1030" max="1030" width="19" style="25" customWidth="1"/>
    <col min="1031" max="1280" width="14.85546875" style="25"/>
    <col min="1281" max="1281" width="0.42578125" style="25" customWidth="1"/>
    <col min="1282" max="1282" width="26.42578125" style="25" bestFit="1" customWidth="1"/>
    <col min="1283" max="1283" width="20.42578125" style="25" customWidth="1"/>
    <col min="1284" max="1284" width="18.42578125" style="25" customWidth="1"/>
    <col min="1285" max="1285" width="17" style="25" customWidth="1"/>
    <col min="1286" max="1286" width="19" style="25" customWidth="1"/>
    <col min="1287" max="1536" width="14.85546875" style="25"/>
    <col min="1537" max="1537" width="0.42578125" style="25" customWidth="1"/>
    <col min="1538" max="1538" width="26.42578125" style="25" bestFit="1" customWidth="1"/>
    <col min="1539" max="1539" width="20.42578125" style="25" customWidth="1"/>
    <col min="1540" max="1540" width="18.42578125" style="25" customWidth="1"/>
    <col min="1541" max="1541" width="17" style="25" customWidth="1"/>
    <col min="1542" max="1542" width="19" style="25" customWidth="1"/>
    <col min="1543" max="1792" width="14.85546875" style="25"/>
    <col min="1793" max="1793" width="0.42578125" style="25" customWidth="1"/>
    <col min="1794" max="1794" width="26.42578125" style="25" bestFit="1" customWidth="1"/>
    <col min="1795" max="1795" width="20.42578125" style="25" customWidth="1"/>
    <col min="1796" max="1796" width="18.42578125" style="25" customWidth="1"/>
    <col min="1797" max="1797" width="17" style="25" customWidth="1"/>
    <col min="1798" max="1798" width="19" style="25" customWidth="1"/>
    <col min="1799" max="2048" width="14.85546875" style="25"/>
    <col min="2049" max="2049" width="0.42578125" style="25" customWidth="1"/>
    <col min="2050" max="2050" width="26.42578125" style="25" bestFit="1" customWidth="1"/>
    <col min="2051" max="2051" width="20.42578125" style="25" customWidth="1"/>
    <col min="2052" max="2052" width="18.42578125" style="25" customWidth="1"/>
    <col min="2053" max="2053" width="17" style="25" customWidth="1"/>
    <col min="2054" max="2054" width="19" style="25" customWidth="1"/>
    <col min="2055" max="2304" width="14.85546875" style="25"/>
    <col min="2305" max="2305" width="0.42578125" style="25" customWidth="1"/>
    <col min="2306" max="2306" width="26.42578125" style="25" bestFit="1" customWidth="1"/>
    <col min="2307" max="2307" width="20.42578125" style="25" customWidth="1"/>
    <col min="2308" max="2308" width="18.42578125" style="25" customWidth="1"/>
    <col min="2309" max="2309" width="17" style="25" customWidth="1"/>
    <col min="2310" max="2310" width="19" style="25" customWidth="1"/>
    <col min="2311" max="2560" width="14.85546875" style="25"/>
    <col min="2561" max="2561" width="0.42578125" style="25" customWidth="1"/>
    <col min="2562" max="2562" width="26.42578125" style="25" bestFit="1" customWidth="1"/>
    <col min="2563" max="2563" width="20.42578125" style="25" customWidth="1"/>
    <col min="2564" max="2564" width="18.42578125" style="25" customWidth="1"/>
    <col min="2565" max="2565" width="17" style="25" customWidth="1"/>
    <col min="2566" max="2566" width="19" style="25" customWidth="1"/>
    <col min="2567" max="2816" width="14.85546875" style="25"/>
    <col min="2817" max="2817" width="0.42578125" style="25" customWidth="1"/>
    <col min="2818" max="2818" width="26.42578125" style="25" bestFit="1" customWidth="1"/>
    <col min="2819" max="2819" width="20.42578125" style="25" customWidth="1"/>
    <col min="2820" max="2820" width="18.42578125" style="25" customWidth="1"/>
    <col min="2821" max="2821" width="17" style="25" customWidth="1"/>
    <col min="2822" max="2822" width="19" style="25" customWidth="1"/>
    <col min="2823" max="3072" width="14.85546875" style="25"/>
    <col min="3073" max="3073" width="0.42578125" style="25" customWidth="1"/>
    <col min="3074" max="3074" width="26.42578125" style="25" bestFit="1" customWidth="1"/>
    <col min="3075" max="3075" width="20.42578125" style="25" customWidth="1"/>
    <col min="3076" max="3076" width="18.42578125" style="25" customWidth="1"/>
    <col min="3077" max="3077" width="17" style="25" customWidth="1"/>
    <col min="3078" max="3078" width="19" style="25" customWidth="1"/>
    <col min="3079" max="3328" width="14.85546875" style="25"/>
    <col min="3329" max="3329" width="0.42578125" style="25" customWidth="1"/>
    <col min="3330" max="3330" width="26.42578125" style="25" bestFit="1" customWidth="1"/>
    <col min="3331" max="3331" width="20.42578125" style="25" customWidth="1"/>
    <col min="3332" max="3332" width="18.42578125" style="25" customWidth="1"/>
    <col min="3333" max="3333" width="17" style="25" customWidth="1"/>
    <col min="3334" max="3334" width="19" style="25" customWidth="1"/>
    <col min="3335" max="3584" width="14.85546875" style="25"/>
    <col min="3585" max="3585" width="0.42578125" style="25" customWidth="1"/>
    <col min="3586" max="3586" width="26.42578125" style="25" bestFit="1" customWidth="1"/>
    <col min="3587" max="3587" width="20.42578125" style="25" customWidth="1"/>
    <col min="3588" max="3588" width="18.42578125" style="25" customWidth="1"/>
    <col min="3589" max="3589" width="17" style="25" customWidth="1"/>
    <col min="3590" max="3590" width="19" style="25" customWidth="1"/>
    <col min="3591" max="3840" width="14.85546875" style="25"/>
    <col min="3841" max="3841" width="0.42578125" style="25" customWidth="1"/>
    <col min="3842" max="3842" width="26.42578125" style="25" bestFit="1" customWidth="1"/>
    <col min="3843" max="3843" width="20.42578125" style="25" customWidth="1"/>
    <col min="3844" max="3844" width="18.42578125" style="25" customWidth="1"/>
    <col min="3845" max="3845" width="17" style="25" customWidth="1"/>
    <col min="3846" max="3846" width="19" style="25" customWidth="1"/>
    <col min="3847" max="4096" width="14.85546875" style="25"/>
    <col min="4097" max="4097" width="0.42578125" style="25" customWidth="1"/>
    <col min="4098" max="4098" width="26.42578125" style="25" bestFit="1" customWidth="1"/>
    <col min="4099" max="4099" width="20.42578125" style="25" customWidth="1"/>
    <col min="4100" max="4100" width="18.42578125" style="25" customWidth="1"/>
    <col min="4101" max="4101" width="17" style="25" customWidth="1"/>
    <col min="4102" max="4102" width="19" style="25" customWidth="1"/>
    <col min="4103" max="4352" width="14.85546875" style="25"/>
    <col min="4353" max="4353" width="0.42578125" style="25" customWidth="1"/>
    <col min="4354" max="4354" width="26.42578125" style="25" bestFit="1" customWidth="1"/>
    <col min="4355" max="4355" width="20.42578125" style="25" customWidth="1"/>
    <col min="4356" max="4356" width="18.42578125" style="25" customWidth="1"/>
    <col min="4357" max="4357" width="17" style="25" customWidth="1"/>
    <col min="4358" max="4358" width="19" style="25" customWidth="1"/>
    <col min="4359" max="4608" width="14.85546875" style="25"/>
    <col min="4609" max="4609" width="0.42578125" style="25" customWidth="1"/>
    <col min="4610" max="4610" width="26.42578125" style="25" bestFit="1" customWidth="1"/>
    <col min="4611" max="4611" width="20.42578125" style="25" customWidth="1"/>
    <col min="4612" max="4612" width="18.42578125" style="25" customWidth="1"/>
    <col min="4613" max="4613" width="17" style="25" customWidth="1"/>
    <col min="4614" max="4614" width="19" style="25" customWidth="1"/>
    <col min="4615" max="4864" width="14.85546875" style="25"/>
    <col min="4865" max="4865" width="0.42578125" style="25" customWidth="1"/>
    <col min="4866" max="4866" width="26.42578125" style="25" bestFit="1" customWidth="1"/>
    <col min="4867" max="4867" width="20.42578125" style="25" customWidth="1"/>
    <col min="4868" max="4868" width="18.42578125" style="25" customWidth="1"/>
    <col min="4869" max="4869" width="17" style="25" customWidth="1"/>
    <col min="4870" max="4870" width="19" style="25" customWidth="1"/>
    <col min="4871" max="5120" width="14.85546875" style="25"/>
    <col min="5121" max="5121" width="0.42578125" style="25" customWidth="1"/>
    <col min="5122" max="5122" width="26.42578125" style="25" bestFit="1" customWidth="1"/>
    <col min="5123" max="5123" width="20.42578125" style="25" customWidth="1"/>
    <col min="5124" max="5124" width="18.42578125" style="25" customWidth="1"/>
    <col min="5125" max="5125" width="17" style="25" customWidth="1"/>
    <col min="5126" max="5126" width="19" style="25" customWidth="1"/>
    <col min="5127" max="5376" width="14.85546875" style="25"/>
    <col min="5377" max="5377" width="0.42578125" style="25" customWidth="1"/>
    <col min="5378" max="5378" width="26.42578125" style="25" bestFit="1" customWidth="1"/>
    <col min="5379" max="5379" width="20.42578125" style="25" customWidth="1"/>
    <col min="5380" max="5380" width="18.42578125" style="25" customWidth="1"/>
    <col min="5381" max="5381" width="17" style="25" customWidth="1"/>
    <col min="5382" max="5382" width="19" style="25" customWidth="1"/>
    <col min="5383" max="5632" width="14.85546875" style="25"/>
    <col min="5633" max="5633" width="0.42578125" style="25" customWidth="1"/>
    <col min="5634" max="5634" width="26.42578125" style="25" bestFit="1" customWidth="1"/>
    <col min="5635" max="5635" width="20.42578125" style="25" customWidth="1"/>
    <col min="5636" max="5636" width="18.42578125" style="25" customWidth="1"/>
    <col min="5637" max="5637" width="17" style="25" customWidth="1"/>
    <col min="5638" max="5638" width="19" style="25" customWidth="1"/>
    <col min="5639" max="5888" width="14.85546875" style="25"/>
    <col min="5889" max="5889" width="0.42578125" style="25" customWidth="1"/>
    <col min="5890" max="5890" width="26.42578125" style="25" bestFit="1" customWidth="1"/>
    <col min="5891" max="5891" width="20.42578125" style="25" customWidth="1"/>
    <col min="5892" max="5892" width="18.42578125" style="25" customWidth="1"/>
    <col min="5893" max="5893" width="17" style="25" customWidth="1"/>
    <col min="5894" max="5894" width="19" style="25" customWidth="1"/>
    <col min="5895" max="6144" width="14.85546875" style="25"/>
    <col min="6145" max="6145" width="0.42578125" style="25" customWidth="1"/>
    <col min="6146" max="6146" width="26.42578125" style="25" bestFit="1" customWidth="1"/>
    <col min="6147" max="6147" width="20.42578125" style="25" customWidth="1"/>
    <col min="6148" max="6148" width="18.42578125" style="25" customWidth="1"/>
    <col min="6149" max="6149" width="17" style="25" customWidth="1"/>
    <col min="6150" max="6150" width="19" style="25" customWidth="1"/>
    <col min="6151" max="6400" width="14.85546875" style="25"/>
    <col min="6401" max="6401" width="0.42578125" style="25" customWidth="1"/>
    <col min="6402" max="6402" width="26.42578125" style="25" bestFit="1" customWidth="1"/>
    <col min="6403" max="6403" width="20.42578125" style="25" customWidth="1"/>
    <col min="6404" max="6404" width="18.42578125" style="25" customWidth="1"/>
    <col min="6405" max="6405" width="17" style="25" customWidth="1"/>
    <col min="6406" max="6406" width="19" style="25" customWidth="1"/>
    <col min="6407" max="6656" width="14.85546875" style="25"/>
    <col min="6657" max="6657" width="0.42578125" style="25" customWidth="1"/>
    <col min="6658" max="6658" width="26.42578125" style="25" bestFit="1" customWidth="1"/>
    <col min="6659" max="6659" width="20.42578125" style="25" customWidth="1"/>
    <col min="6660" max="6660" width="18.42578125" style="25" customWidth="1"/>
    <col min="6661" max="6661" width="17" style="25" customWidth="1"/>
    <col min="6662" max="6662" width="19" style="25" customWidth="1"/>
    <col min="6663" max="6912" width="14.85546875" style="25"/>
    <col min="6913" max="6913" width="0.42578125" style="25" customWidth="1"/>
    <col min="6914" max="6914" width="26.42578125" style="25" bestFit="1" customWidth="1"/>
    <col min="6915" max="6915" width="20.42578125" style="25" customWidth="1"/>
    <col min="6916" max="6916" width="18.42578125" style="25" customWidth="1"/>
    <col min="6917" max="6917" width="17" style="25" customWidth="1"/>
    <col min="6918" max="6918" width="19" style="25" customWidth="1"/>
    <col min="6919" max="7168" width="14.85546875" style="25"/>
    <col min="7169" max="7169" width="0.42578125" style="25" customWidth="1"/>
    <col min="7170" max="7170" width="26.42578125" style="25" bestFit="1" customWidth="1"/>
    <col min="7171" max="7171" width="20.42578125" style="25" customWidth="1"/>
    <col min="7172" max="7172" width="18.42578125" style="25" customWidth="1"/>
    <col min="7173" max="7173" width="17" style="25" customWidth="1"/>
    <col min="7174" max="7174" width="19" style="25" customWidth="1"/>
    <col min="7175" max="7424" width="14.85546875" style="25"/>
    <col min="7425" max="7425" width="0.42578125" style="25" customWidth="1"/>
    <col min="7426" max="7426" width="26.42578125" style="25" bestFit="1" customWidth="1"/>
    <col min="7427" max="7427" width="20.42578125" style="25" customWidth="1"/>
    <col min="7428" max="7428" width="18.42578125" style="25" customWidth="1"/>
    <col min="7429" max="7429" width="17" style="25" customWidth="1"/>
    <col min="7430" max="7430" width="19" style="25" customWidth="1"/>
    <col min="7431" max="7680" width="14.85546875" style="25"/>
    <col min="7681" max="7681" width="0.42578125" style="25" customWidth="1"/>
    <col min="7682" max="7682" width="26.42578125" style="25" bestFit="1" customWidth="1"/>
    <col min="7683" max="7683" width="20.42578125" style="25" customWidth="1"/>
    <col min="7684" max="7684" width="18.42578125" style="25" customWidth="1"/>
    <col min="7685" max="7685" width="17" style="25" customWidth="1"/>
    <col min="7686" max="7686" width="19" style="25" customWidth="1"/>
    <col min="7687" max="7936" width="14.85546875" style="25"/>
    <col min="7937" max="7937" width="0.42578125" style="25" customWidth="1"/>
    <col min="7938" max="7938" width="26.42578125" style="25" bestFit="1" customWidth="1"/>
    <col min="7939" max="7939" width="20.42578125" style="25" customWidth="1"/>
    <col min="7940" max="7940" width="18.42578125" style="25" customWidth="1"/>
    <col min="7941" max="7941" width="17" style="25" customWidth="1"/>
    <col min="7942" max="7942" width="19" style="25" customWidth="1"/>
    <col min="7943" max="8192" width="14.85546875" style="25"/>
    <col min="8193" max="8193" width="0.42578125" style="25" customWidth="1"/>
    <col min="8194" max="8194" width="26.42578125" style="25" bestFit="1" customWidth="1"/>
    <col min="8195" max="8195" width="20.42578125" style="25" customWidth="1"/>
    <col min="8196" max="8196" width="18.42578125" style="25" customWidth="1"/>
    <col min="8197" max="8197" width="17" style="25" customWidth="1"/>
    <col min="8198" max="8198" width="19" style="25" customWidth="1"/>
    <col min="8199" max="8448" width="14.85546875" style="25"/>
    <col min="8449" max="8449" width="0.42578125" style="25" customWidth="1"/>
    <col min="8450" max="8450" width="26.42578125" style="25" bestFit="1" customWidth="1"/>
    <col min="8451" max="8451" width="20.42578125" style="25" customWidth="1"/>
    <col min="8452" max="8452" width="18.42578125" style="25" customWidth="1"/>
    <col min="8453" max="8453" width="17" style="25" customWidth="1"/>
    <col min="8454" max="8454" width="19" style="25" customWidth="1"/>
    <col min="8455" max="8704" width="14.85546875" style="25"/>
    <col min="8705" max="8705" width="0.42578125" style="25" customWidth="1"/>
    <col min="8706" max="8706" width="26.42578125" style="25" bestFit="1" customWidth="1"/>
    <col min="8707" max="8707" width="20.42578125" style="25" customWidth="1"/>
    <col min="8708" max="8708" width="18.42578125" style="25" customWidth="1"/>
    <col min="8709" max="8709" width="17" style="25" customWidth="1"/>
    <col min="8710" max="8710" width="19" style="25" customWidth="1"/>
    <col min="8711" max="8960" width="14.85546875" style="25"/>
    <col min="8961" max="8961" width="0.42578125" style="25" customWidth="1"/>
    <col min="8962" max="8962" width="26.42578125" style="25" bestFit="1" customWidth="1"/>
    <col min="8963" max="8963" width="20.42578125" style="25" customWidth="1"/>
    <col min="8964" max="8964" width="18.42578125" style="25" customWidth="1"/>
    <col min="8965" max="8965" width="17" style="25" customWidth="1"/>
    <col min="8966" max="8966" width="19" style="25" customWidth="1"/>
    <col min="8967" max="9216" width="14.85546875" style="25"/>
    <col min="9217" max="9217" width="0.42578125" style="25" customWidth="1"/>
    <col min="9218" max="9218" width="26.42578125" style="25" bestFit="1" customWidth="1"/>
    <col min="9219" max="9219" width="20.42578125" style="25" customWidth="1"/>
    <col min="9220" max="9220" width="18.42578125" style="25" customWidth="1"/>
    <col min="9221" max="9221" width="17" style="25" customWidth="1"/>
    <col min="9222" max="9222" width="19" style="25" customWidth="1"/>
    <col min="9223" max="9472" width="14.85546875" style="25"/>
    <col min="9473" max="9473" width="0.42578125" style="25" customWidth="1"/>
    <col min="9474" max="9474" width="26.42578125" style="25" bestFit="1" customWidth="1"/>
    <col min="9475" max="9475" width="20.42578125" style="25" customWidth="1"/>
    <col min="9476" max="9476" width="18.42578125" style="25" customWidth="1"/>
    <col min="9477" max="9477" width="17" style="25" customWidth="1"/>
    <col min="9478" max="9478" width="19" style="25" customWidth="1"/>
    <col min="9479" max="9728" width="14.85546875" style="25"/>
    <col min="9729" max="9729" width="0.42578125" style="25" customWidth="1"/>
    <col min="9730" max="9730" width="26.42578125" style="25" bestFit="1" customWidth="1"/>
    <col min="9731" max="9731" width="20.42578125" style="25" customWidth="1"/>
    <col min="9732" max="9732" width="18.42578125" style="25" customWidth="1"/>
    <col min="9733" max="9733" width="17" style="25" customWidth="1"/>
    <col min="9734" max="9734" width="19" style="25" customWidth="1"/>
    <col min="9735" max="9984" width="14.85546875" style="25"/>
    <col min="9985" max="9985" width="0.42578125" style="25" customWidth="1"/>
    <col min="9986" max="9986" width="26.42578125" style="25" bestFit="1" customWidth="1"/>
    <col min="9987" max="9987" width="20.42578125" style="25" customWidth="1"/>
    <col min="9988" max="9988" width="18.42578125" style="25" customWidth="1"/>
    <col min="9989" max="9989" width="17" style="25" customWidth="1"/>
    <col min="9990" max="9990" width="19" style="25" customWidth="1"/>
    <col min="9991" max="10240" width="14.85546875" style="25"/>
    <col min="10241" max="10241" width="0.42578125" style="25" customWidth="1"/>
    <col min="10242" max="10242" width="26.42578125" style="25" bestFit="1" customWidth="1"/>
    <col min="10243" max="10243" width="20.42578125" style="25" customWidth="1"/>
    <col min="10244" max="10244" width="18.42578125" style="25" customWidth="1"/>
    <col min="10245" max="10245" width="17" style="25" customWidth="1"/>
    <col min="10246" max="10246" width="19" style="25" customWidth="1"/>
    <col min="10247" max="10496" width="14.85546875" style="25"/>
    <col min="10497" max="10497" width="0.42578125" style="25" customWidth="1"/>
    <col min="10498" max="10498" width="26.42578125" style="25" bestFit="1" customWidth="1"/>
    <col min="10499" max="10499" width="20.42578125" style="25" customWidth="1"/>
    <col min="10500" max="10500" width="18.42578125" style="25" customWidth="1"/>
    <col min="10501" max="10501" width="17" style="25" customWidth="1"/>
    <col min="10502" max="10502" width="19" style="25" customWidth="1"/>
    <col min="10503" max="10752" width="14.85546875" style="25"/>
    <col min="10753" max="10753" width="0.42578125" style="25" customWidth="1"/>
    <col min="10754" max="10754" width="26.42578125" style="25" bestFit="1" customWidth="1"/>
    <col min="10755" max="10755" width="20.42578125" style="25" customWidth="1"/>
    <col min="10756" max="10756" width="18.42578125" style="25" customWidth="1"/>
    <col min="10757" max="10757" width="17" style="25" customWidth="1"/>
    <col min="10758" max="10758" width="19" style="25" customWidth="1"/>
    <col min="10759" max="11008" width="14.85546875" style="25"/>
    <col min="11009" max="11009" width="0.42578125" style="25" customWidth="1"/>
    <col min="11010" max="11010" width="26.42578125" style="25" bestFit="1" customWidth="1"/>
    <col min="11011" max="11011" width="20.42578125" style="25" customWidth="1"/>
    <col min="11012" max="11012" width="18.42578125" style="25" customWidth="1"/>
    <col min="11013" max="11013" width="17" style="25" customWidth="1"/>
    <col min="11014" max="11014" width="19" style="25" customWidth="1"/>
    <col min="11015" max="11264" width="14.85546875" style="25"/>
    <col min="11265" max="11265" width="0.42578125" style="25" customWidth="1"/>
    <col min="11266" max="11266" width="26.42578125" style="25" bestFit="1" customWidth="1"/>
    <col min="11267" max="11267" width="20.42578125" style="25" customWidth="1"/>
    <col min="11268" max="11268" width="18.42578125" style="25" customWidth="1"/>
    <col min="11269" max="11269" width="17" style="25" customWidth="1"/>
    <col min="11270" max="11270" width="19" style="25" customWidth="1"/>
    <col min="11271" max="11520" width="14.85546875" style="25"/>
    <col min="11521" max="11521" width="0.42578125" style="25" customWidth="1"/>
    <col min="11522" max="11522" width="26.42578125" style="25" bestFit="1" customWidth="1"/>
    <col min="11523" max="11523" width="20.42578125" style="25" customWidth="1"/>
    <col min="11524" max="11524" width="18.42578125" style="25" customWidth="1"/>
    <col min="11525" max="11525" width="17" style="25" customWidth="1"/>
    <col min="11526" max="11526" width="19" style="25" customWidth="1"/>
    <col min="11527" max="11776" width="14.85546875" style="25"/>
    <col min="11777" max="11777" width="0.42578125" style="25" customWidth="1"/>
    <col min="11778" max="11778" width="26.42578125" style="25" bestFit="1" customWidth="1"/>
    <col min="11779" max="11779" width="20.42578125" style="25" customWidth="1"/>
    <col min="11780" max="11780" width="18.42578125" style="25" customWidth="1"/>
    <col min="11781" max="11781" width="17" style="25" customWidth="1"/>
    <col min="11782" max="11782" width="19" style="25" customWidth="1"/>
    <col min="11783" max="12032" width="14.85546875" style="25"/>
    <col min="12033" max="12033" width="0.42578125" style="25" customWidth="1"/>
    <col min="12034" max="12034" width="26.42578125" style="25" bestFit="1" customWidth="1"/>
    <col min="12035" max="12035" width="20.42578125" style="25" customWidth="1"/>
    <col min="12036" max="12036" width="18.42578125" style="25" customWidth="1"/>
    <col min="12037" max="12037" width="17" style="25" customWidth="1"/>
    <col min="12038" max="12038" width="19" style="25" customWidth="1"/>
    <col min="12039" max="12288" width="14.85546875" style="25"/>
    <col min="12289" max="12289" width="0.42578125" style="25" customWidth="1"/>
    <col min="12290" max="12290" width="26.42578125" style="25" bestFit="1" customWidth="1"/>
    <col min="12291" max="12291" width="20.42578125" style="25" customWidth="1"/>
    <col min="12292" max="12292" width="18.42578125" style="25" customWidth="1"/>
    <col min="12293" max="12293" width="17" style="25" customWidth="1"/>
    <col min="12294" max="12294" width="19" style="25" customWidth="1"/>
    <col min="12295" max="12544" width="14.85546875" style="25"/>
    <col min="12545" max="12545" width="0.42578125" style="25" customWidth="1"/>
    <col min="12546" max="12546" width="26.42578125" style="25" bestFit="1" customWidth="1"/>
    <col min="12547" max="12547" width="20.42578125" style="25" customWidth="1"/>
    <col min="12548" max="12548" width="18.42578125" style="25" customWidth="1"/>
    <col min="12549" max="12549" width="17" style="25" customWidth="1"/>
    <col min="12550" max="12550" width="19" style="25" customWidth="1"/>
    <col min="12551" max="12800" width="14.85546875" style="25"/>
    <col min="12801" max="12801" width="0.42578125" style="25" customWidth="1"/>
    <col min="12802" max="12802" width="26.42578125" style="25" bestFit="1" customWidth="1"/>
    <col min="12803" max="12803" width="20.42578125" style="25" customWidth="1"/>
    <col min="12804" max="12804" width="18.42578125" style="25" customWidth="1"/>
    <col min="12805" max="12805" width="17" style="25" customWidth="1"/>
    <col min="12806" max="12806" width="19" style="25" customWidth="1"/>
    <col min="12807" max="13056" width="14.85546875" style="25"/>
    <col min="13057" max="13057" width="0.42578125" style="25" customWidth="1"/>
    <col min="13058" max="13058" width="26.42578125" style="25" bestFit="1" customWidth="1"/>
    <col min="13059" max="13059" width="20.42578125" style="25" customWidth="1"/>
    <col min="13060" max="13060" width="18.42578125" style="25" customWidth="1"/>
    <col min="13061" max="13061" width="17" style="25" customWidth="1"/>
    <col min="13062" max="13062" width="19" style="25" customWidth="1"/>
    <col min="13063" max="13312" width="14.85546875" style="25"/>
    <col min="13313" max="13313" width="0.42578125" style="25" customWidth="1"/>
    <col min="13314" max="13314" width="26.42578125" style="25" bestFit="1" customWidth="1"/>
    <col min="13315" max="13315" width="20.42578125" style="25" customWidth="1"/>
    <col min="13316" max="13316" width="18.42578125" style="25" customWidth="1"/>
    <col min="13317" max="13317" width="17" style="25" customWidth="1"/>
    <col min="13318" max="13318" width="19" style="25" customWidth="1"/>
    <col min="13319" max="13568" width="14.85546875" style="25"/>
    <col min="13569" max="13569" width="0.42578125" style="25" customWidth="1"/>
    <col min="13570" max="13570" width="26.42578125" style="25" bestFit="1" customWidth="1"/>
    <col min="13571" max="13571" width="20.42578125" style="25" customWidth="1"/>
    <col min="13572" max="13572" width="18.42578125" style="25" customWidth="1"/>
    <col min="13573" max="13573" width="17" style="25" customWidth="1"/>
    <col min="13574" max="13574" width="19" style="25" customWidth="1"/>
    <col min="13575" max="13824" width="14.85546875" style="25"/>
    <col min="13825" max="13825" width="0.42578125" style="25" customWidth="1"/>
    <col min="13826" max="13826" width="26.42578125" style="25" bestFit="1" customWidth="1"/>
    <col min="13827" max="13827" width="20.42578125" style="25" customWidth="1"/>
    <col min="13828" max="13828" width="18.42578125" style="25" customWidth="1"/>
    <col min="13829" max="13829" width="17" style="25" customWidth="1"/>
    <col min="13830" max="13830" width="19" style="25" customWidth="1"/>
    <col min="13831" max="14080" width="14.85546875" style="25"/>
    <col min="14081" max="14081" width="0.42578125" style="25" customWidth="1"/>
    <col min="14082" max="14082" width="26.42578125" style="25" bestFit="1" customWidth="1"/>
    <col min="14083" max="14083" width="20.42578125" style="25" customWidth="1"/>
    <col min="14084" max="14084" width="18.42578125" style="25" customWidth="1"/>
    <col min="14085" max="14085" width="17" style="25" customWidth="1"/>
    <col min="14086" max="14086" width="19" style="25" customWidth="1"/>
    <col min="14087" max="14336" width="14.85546875" style="25"/>
    <col min="14337" max="14337" width="0.42578125" style="25" customWidth="1"/>
    <col min="14338" max="14338" width="26.42578125" style="25" bestFit="1" customWidth="1"/>
    <col min="14339" max="14339" width="20.42578125" style="25" customWidth="1"/>
    <col min="14340" max="14340" width="18.42578125" style="25" customWidth="1"/>
    <col min="14341" max="14341" width="17" style="25" customWidth="1"/>
    <col min="14342" max="14342" width="19" style="25" customWidth="1"/>
    <col min="14343" max="14592" width="14.85546875" style="25"/>
    <col min="14593" max="14593" width="0.42578125" style="25" customWidth="1"/>
    <col min="14594" max="14594" width="26.42578125" style="25" bestFit="1" customWidth="1"/>
    <col min="14595" max="14595" width="20.42578125" style="25" customWidth="1"/>
    <col min="14596" max="14596" width="18.42578125" style="25" customWidth="1"/>
    <col min="14597" max="14597" width="17" style="25" customWidth="1"/>
    <col min="14598" max="14598" width="19" style="25" customWidth="1"/>
    <col min="14599" max="14848" width="14.85546875" style="25"/>
    <col min="14849" max="14849" width="0.42578125" style="25" customWidth="1"/>
    <col min="14850" max="14850" width="26.42578125" style="25" bestFit="1" customWidth="1"/>
    <col min="14851" max="14851" width="20.42578125" style="25" customWidth="1"/>
    <col min="14852" max="14852" width="18.42578125" style="25" customWidth="1"/>
    <col min="14853" max="14853" width="17" style="25" customWidth="1"/>
    <col min="14854" max="14854" width="19" style="25" customWidth="1"/>
    <col min="14855" max="15104" width="14.85546875" style="25"/>
    <col min="15105" max="15105" width="0.42578125" style="25" customWidth="1"/>
    <col min="15106" max="15106" width="26.42578125" style="25" bestFit="1" customWidth="1"/>
    <col min="15107" max="15107" width="20.42578125" style="25" customWidth="1"/>
    <col min="15108" max="15108" width="18.42578125" style="25" customWidth="1"/>
    <col min="15109" max="15109" width="17" style="25" customWidth="1"/>
    <col min="15110" max="15110" width="19" style="25" customWidth="1"/>
    <col min="15111" max="15360" width="14.85546875" style="25"/>
    <col min="15361" max="15361" width="0.42578125" style="25" customWidth="1"/>
    <col min="15362" max="15362" width="26.42578125" style="25" bestFit="1" customWidth="1"/>
    <col min="15363" max="15363" width="20.42578125" style="25" customWidth="1"/>
    <col min="15364" max="15364" width="18.42578125" style="25" customWidth="1"/>
    <col min="15365" max="15365" width="17" style="25" customWidth="1"/>
    <col min="15366" max="15366" width="19" style="25" customWidth="1"/>
    <col min="15367" max="15616" width="14.85546875" style="25"/>
    <col min="15617" max="15617" width="0.42578125" style="25" customWidth="1"/>
    <col min="15618" max="15618" width="26.42578125" style="25" bestFit="1" customWidth="1"/>
    <col min="15619" max="15619" width="20.42578125" style="25" customWidth="1"/>
    <col min="15620" max="15620" width="18.42578125" style="25" customWidth="1"/>
    <col min="15621" max="15621" width="17" style="25" customWidth="1"/>
    <col min="15622" max="15622" width="19" style="25" customWidth="1"/>
    <col min="15623" max="15872" width="14.85546875" style="25"/>
    <col min="15873" max="15873" width="0.42578125" style="25" customWidth="1"/>
    <col min="15874" max="15874" width="26.42578125" style="25" bestFit="1" customWidth="1"/>
    <col min="15875" max="15875" width="20.42578125" style="25" customWidth="1"/>
    <col min="15876" max="15876" width="18.42578125" style="25" customWidth="1"/>
    <col min="15877" max="15877" width="17" style="25" customWidth="1"/>
    <col min="15878" max="15878" width="19" style="25" customWidth="1"/>
    <col min="15879" max="16128" width="14.85546875" style="25"/>
    <col min="16129" max="16129" width="0.42578125" style="25" customWidth="1"/>
    <col min="16130" max="16130" width="26.42578125" style="25" bestFit="1" customWidth="1"/>
    <col min="16131" max="16131" width="20.42578125" style="25" customWidth="1"/>
    <col min="16132" max="16132" width="18.42578125" style="25" customWidth="1"/>
    <col min="16133" max="16133" width="17" style="25" customWidth="1"/>
    <col min="16134" max="16134" width="19" style="25" customWidth="1"/>
    <col min="16135" max="16384" width="14.85546875" style="25"/>
  </cols>
  <sheetData>
    <row r="1" spans="2:8" x14ac:dyDescent="0.25">
      <c r="B1" s="40" t="s">
        <v>184</v>
      </c>
    </row>
    <row r="2" spans="2:8" x14ac:dyDescent="0.25">
      <c r="B2" s="40" t="s">
        <v>191</v>
      </c>
    </row>
    <row r="3" spans="2:8" x14ac:dyDescent="0.25">
      <c r="C3" s="46" t="s">
        <v>185</v>
      </c>
      <c r="D3" s="46"/>
    </row>
    <row r="4" spans="2:8" x14ac:dyDescent="0.25">
      <c r="B4" s="38" t="s">
        <v>186</v>
      </c>
    </row>
    <row r="5" spans="2:8" x14ac:dyDescent="0.25">
      <c r="B5" s="38" t="s">
        <v>187</v>
      </c>
    </row>
    <row r="6" spans="2:8" x14ac:dyDescent="0.25">
      <c r="B6" s="38" t="s">
        <v>188</v>
      </c>
    </row>
    <row r="7" spans="2:8" x14ac:dyDescent="0.25">
      <c r="B7" s="38" t="s">
        <v>189</v>
      </c>
    </row>
    <row r="9" spans="2:8" x14ac:dyDescent="0.25">
      <c r="B9" s="39" t="s">
        <v>190</v>
      </c>
      <c r="C9" s="44" t="s">
        <v>196</v>
      </c>
      <c r="D9" s="27" t="s">
        <v>153</v>
      </c>
      <c r="E9" s="27" t="s">
        <v>154</v>
      </c>
      <c r="F9" s="44" t="s">
        <v>197</v>
      </c>
      <c r="G9" s="44" t="s">
        <v>198</v>
      </c>
      <c r="H9" s="44" t="s">
        <v>199</v>
      </c>
    </row>
    <row r="10" spans="2:8" x14ac:dyDescent="0.25">
      <c r="B10" s="27" t="s">
        <v>155</v>
      </c>
      <c r="C10" s="26"/>
      <c r="D10" s="26"/>
      <c r="E10" s="26"/>
      <c r="F10" s="26"/>
      <c r="G10" s="26"/>
      <c r="H10" s="26"/>
    </row>
    <row r="11" spans="2:8" x14ac:dyDescent="0.25">
      <c r="B11" s="26" t="s">
        <v>156</v>
      </c>
      <c r="C11" s="26"/>
      <c r="D11" s="26"/>
      <c r="E11" s="26"/>
      <c r="F11" s="26"/>
      <c r="G11" s="26"/>
      <c r="H11" s="26"/>
    </row>
    <row r="12" spans="2:8" x14ac:dyDescent="0.25">
      <c r="B12" s="26" t="s">
        <v>157</v>
      </c>
      <c r="C12" s="26"/>
      <c r="D12" s="26">
        <f>C12*0.05</f>
        <v>0</v>
      </c>
      <c r="E12" s="26">
        <f>C12*0.04</f>
        <v>0</v>
      </c>
      <c r="F12" s="26">
        <f>SUM(D12:E12)</f>
        <v>0</v>
      </c>
      <c r="G12" s="26"/>
      <c r="H12" s="26"/>
    </row>
    <row r="13" spans="2:8" x14ac:dyDescent="0.25">
      <c r="B13" s="26" t="s">
        <v>158</v>
      </c>
      <c r="C13" s="26"/>
      <c r="D13" s="26">
        <f>C13*0.03</f>
        <v>0</v>
      </c>
      <c r="E13" s="26">
        <f>C13*0.02</f>
        <v>0</v>
      </c>
      <c r="F13" s="26">
        <f>SUM(D13:E13)</f>
        <v>0</v>
      </c>
      <c r="G13" s="26"/>
      <c r="H13" s="26"/>
    </row>
    <row r="14" spans="2:8" x14ac:dyDescent="0.25">
      <c r="B14" s="26" t="s">
        <v>159</v>
      </c>
      <c r="C14" s="28"/>
      <c r="D14" s="26">
        <f>(C14*0.09)</f>
        <v>0</v>
      </c>
      <c r="E14" s="26">
        <f>(C14)*0.04</f>
        <v>0</v>
      </c>
      <c r="F14" s="26">
        <f>D14+E14</f>
        <v>0</v>
      </c>
      <c r="G14" s="26"/>
      <c r="H14" s="26"/>
    </row>
    <row r="15" spans="2:8" x14ac:dyDescent="0.25">
      <c r="B15" s="29"/>
      <c r="C15" s="29">
        <f>SUM(C11:C14)</f>
        <v>0</v>
      </c>
      <c r="D15" s="29">
        <f>SUM(D11:D14)</f>
        <v>0</v>
      </c>
      <c r="E15" s="29">
        <f>SUM(E11:E14)</f>
        <v>0</v>
      </c>
      <c r="F15" s="29">
        <f>SUM(F11:F14)</f>
        <v>0</v>
      </c>
      <c r="G15" s="26"/>
      <c r="H15" s="26"/>
    </row>
    <row r="16" spans="2:8" x14ac:dyDescent="0.25">
      <c r="B16" s="30" t="s">
        <v>160</v>
      </c>
      <c r="C16" s="26"/>
      <c r="D16" s="26"/>
      <c r="E16" s="26"/>
      <c r="F16" s="26"/>
      <c r="G16" s="26"/>
      <c r="H16" s="26"/>
    </row>
    <row r="17" spans="2:8" x14ac:dyDescent="0.25">
      <c r="B17" s="31" t="s">
        <v>161</v>
      </c>
      <c r="C17" s="26"/>
      <c r="D17" s="26">
        <f>(C17)*0.08</f>
        <v>0</v>
      </c>
      <c r="E17" s="26">
        <f>(C17)*0.04</f>
        <v>0</v>
      </c>
      <c r="F17" s="26">
        <f>D17+E17</f>
        <v>0</v>
      </c>
      <c r="G17" s="26"/>
      <c r="H17" s="26"/>
    </row>
    <row r="18" spans="2:8" x14ac:dyDescent="0.25">
      <c r="B18" s="31" t="s">
        <v>162</v>
      </c>
      <c r="C18" s="26"/>
      <c r="D18" s="26">
        <f>(C18*0.08)</f>
        <v>0</v>
      </c>
      <c r="E18" s="26">
        <f>C18*0.04</f>
        <v>0</v>
      </c>
      <c r="F18" s="26">
        <f>D18+E18</f>
        <v>0</v>
      </c>
      <c r="G18" s="26"/>
      <c r="H18" s="26"/>
    </row>
    <row r="19" spans="2:8" x14ac:dyDescent="0.25">
      <c r="B19" s="31" t="s">
        <v>163</v>
      </c>
      <c r="C19" s="26"/>
      <c r="D19" s="26">
        <f>C19*0.08</f>
        <v>0</v>
      </c>
      <c r="E19" s="26">
        <f>(C19)*0.04</f>
        <v>0</v>
      </c>
      <c r="F19" s="26">
        <f>D19+E19</f>
        <v>0</v>
      </c>
      <c r="G19" s="26"/>
      <c r="H19" s="26"/>
    </row>
    <row r="20" spans="2:8" x14ac:dyDescent="0.25">
      <c r="B20" s="31" t="s">
        <v>164</v>
      </c>
      <c r="C20" s="26"/>
      <c r="D20" s="26">
        <f>(C20)*0.08</f>
        <v>0</v>
      </c>
      <c r="E20" s="26">
        <f>(C20)*0.04</f>
        <v>0</v>
      </c>
      <c r="F20" s="26">
        <f>D20+E20</f>
        <v>0</v>
      </c>
      <c r="G20" s="26"/>
      <c r="H20" s="26"/>
    </row>
    <row r="21" spans="2:8" x14ac:dyDescent="0.25">
      <c r="B21" s="29"/>
      <c r="C21" s="29">
        <f>SUM(C17:C20)</f>
        <v>0</v>
      </c>
      <c r="D21" s="29">
        <f>SUM(D17:D20)</f>
        <v>0</v>
      </c>
      <c r="E21" s="29">
        <f>SUM(E17:E20)</f>
        <v>0</v>
      </c>
      <c r="F21" s="29">
        <f>SUM(F17:F20)</f>
        <v>0</v>
      </c>
      <c r="G21" s="26"/>
      <c r="H21" s="26"/>
    </row>
    <row r="22" spans="2:8" x14ac:dyDescent="0.25">
      <c r="B22" s="30" t="s">
        <v>165</v>
      </c>
      <c r="C22" s="26"/>
      <c r="D22" s="26"/>
      <c r="E22" s="26"/>
      <c r="F22" s="26"/>
      <c r="G22" s="26"/>
      <c r="H22" s="26"/>
    </row>
    <row r="23" spans="2:8" x14ac:dyDescent="0.25">
      <c r="B23" s="31" t="s">
        <v>166</v>
      </c>
      <c r="C23" s="26"/>
      <c r="D23" s="26">
        <f>(C23)*0.1</f>
        <v>0</v>
      </c>
      <c r="E23" s="26">
        <f>(C23)*0.04</f>
        <v>0</v>
      </c>
      <c r="F23" s="26">
        <f>D23+E23</f>
        <v>0</v>
      </c>
      <c r="G23" s="26"/>
      <c r="H23" s="26"/>
    </row>
    <row r="24" spans="2:8" x14ac:dyDescent="0.25">
      <c r="B24" s="31" t="s">
        <v>167</v>
      </c>
      <c r="C24" s="32"/>
      <c r="D24" s="26">
        <f>(C24)*0.32</f>
        <v>0</v>
      </c>
      <c r="E24" s="26">
        <f>(C24)*0.16</f>
        <v>0</v>
      </c>
      <c r="F24" s="26">
        <f>D24+E24</f>
        <v>0</v>
      </c>
      <c r="G24" s="26"/>
      <c r="H24" s="26"/>
    </row>
    <row r="25" spans="2:8" x14ac:dyDescent="0.25">
      <c r="B25" s="31" t="s">
        <v>168</v>
      </c>
      <c r="C25" s="33"/>
      <c r="D25" s="26">
        <f>(C25)*0.05</f>
        <v>0</v>
      </c>
      <c r="E25" s="26">
        <f>(C25)*0.05</f>
        <v>0</v>
      </c>
      <c r="F25" s="26">
        <f>D25+E25</f>
        <v>0</v>
      </c>
      <c r="G25" s="26">
        <f>C25*10%</f>
        <v>0</v>
      </c>
      <c r="H25" s="26"/>
    </row>
    <row r="26" spans="2:8" x14ac:dyDescent="0.25">
      <c r="B26" s="34" t="s">
        <v>169</v>
      </c>
      <c r="C26" s="26"/>
      <c r="D26" s="26">
        <f>C26*10%</f>
        <v>0</v>
      </c>
      <c r="E26" s="26"/>
      <c r="F26" s="26"/>
      <c r="G26" s="26"/>
      <c r="H26" s="26"/>
    </row>
    <row r="27" spans="2:8" x14ac:dyDescent="0.25">
      <c r="B27" s="29"/>
      <c r="C27" s="29">
        <f>SUM(C23:C25)</f>
        <v>0</v>
      </c>
      <c r="D27" s="29">
        <f>SUM(D23:D25)</f>
        <v>0</v>
      </c>
      <c r="E27" s="29">
        <f>SUM(E23:E25)</f>
        <v>0</v>
      </c>
      <c r="F27" s="29">
        <f>SUM(F23:F25)</f>
        <v>0</v>
      </c>
      <c r="G27" s="26"/>
      <c r="H27" s="26"/>
    </row>
    <row r="28" spans="2:8" x14ac:dyDescent="0.25">
      <c r="B28" s="30" t="s">
        <v>170</v>
      </c>
      <c r="C28" s="26"/>
      <c r="D28" s="26"/>
      <c r="E28" s="26"/>
      <c r="F28" s="26"/>
      <c r="G28" s="26"/>
      <c r="H28" s="26"/>
    </row>
    <row r="29" spans="2:8" x14ac:dyDescent="0.25">
      <c r="B29" s="31" t="s">
        <v>171</v>
      </c>
      <c r="C29" s="26"/>
      <c r="D29" s="26">
        <f>(C29)*0.05</f>
        <v>0</v>
      </c>
      <c r="E29" s="26">
        <f>(C29)*0.05</f>
        <v>0</v>
      </c>
      <c r="F29" s="26">
        <f>D29+E29</f>
        <v>0</v>
      </c>
      <c r="G29" s="26"/>
      <c r="H29" s="26"/>
    </row>
    <row r="30" spans="2:8" x14ac:dyDescent="0.25">
      <c r="B30" s="31" t="s">
        <v>172</v>
      </c>
      <c r="D30" s="26">
        <f>(C30)*0.1</f>
        <v>0</v>
      </c>
      <c r="E30" s="26">
        <f>(C30)*0.05</f>
        <v>0</v>
      </c>
      <c r="F30" s="26">
        <f>D30+E30</f>
        <v>0</v>
      </c>
      <c r="G30" s="26"/>
      <c r="H30" s="26"/>
    </row>
    <row r="31" spans="2:8" x14ac:dyDescent="0.25">
      <c r="B31" s="34" t="s">
        <v>173</v>
      </c>
      <c r="C31" s="26"/>
      <c r="D31" s="26">
        <f>C31*7.5%</f>
        <v>0</v>
      </c>
      <c r="E31" s="26"/>
      <c r="F31" s="26">
        <f>D31+E31</f>
        <v>0</v>
      </c>
      <c r="G31" s="26"/>
      <c r="H31" s="26"/>
    </row>
    <row r="32" spans="2:8" x14ac:dyDescent="0.25">
      <c r="B32" s="29"/>
      <c r="C32" s="29">
        <f>SUM(C29:C31)</f>
        <v>0</v>
      </c>
      <c r="D32" s="29">
        <f>SUM(D29:D30)</f>
        <v>0</v>
      </c>
      <c r="E32" s="29">
        <f>SUM(E29:E30)</f>
        <v>0</v>
      </c>
      <c r="F32" s="29">
        <f>SUM(F29:F31)</f>
        <v>0</v>
      </c>
      <c r="G32" s="26"/>
      <c r="H32" s="26"/>
    </row>
    <row r="33" spans="2:8" x14ac:dyDescent="0.25">
      <c r="B33" s="31" t="s">
        <v>174</v>
      </c>
      <c r="C33" s="26"/>
      <c r="D33" s="26"/>
      <c r="E33" s="26"/>
      <c r="F33" s="26"/>
      <c r="G33" s="26"/>
      <c r="H33" s="26"/>
    </row>
    <row r="34" spans="2:8" x14ac:dyDescent="0.25">
      <c r="B34" s="31" t="s">
        <v>175</v>
      </c>
      <c r="C34" s="26"/>
      <c r="D34" s="26">
        <f>(C34)*0.1</f>
        <v>0</v>
      </c>
      <c r="E34" s="26">
        <f>(C34)*0.05</f>
        <v>0</v>
      </c>
      <c r="F34" s="26">
        <f>D34+E34</f>
        <v>0</v>
      </c>
      <c r="G34" s="26"/>
      <c r="H34" s="26"/>
    </row>
    <row r="35" spans="2:8" x14ac:dyDescent="0.25">
      <c r="B35" s="31" t="s">
        <v>176</v>
      </c>
      <c r="C35" s="26"/>
      <c r="D35" s="26">
        <f>(C35)*0.15</f>
        <v>0</v>
      </c>
      <c r="E35" s="26">
        <f>(C35)*0.15</f>
        <v>0</v>
      </c>
      <c r="F35" s="26">
        <f>D35+E35</f>
        <v>0</v>
      </c>
      <c r="G35" s="26"/>
      <c r="H35" s="26"/>
    </row>
    <row r="36" spans="2:8" x14ac:dyDescent="0.25">
      <c r="B36" s="31" t="s">
        <v>177</v>
      </c>
      <c r="C36" s="26"/>
      <c r="D36" s="26">
        <f>(C36)*0.02</f>
        <v>0</v>
      </c>
      <c r="E36" s="26">
        <f>(C36)*0.01</f>
        <v>0</v>
      </c>
      <c r="F36" s="26">
        <f>D36+E36</f>
        <v>0</v>
      </c>
      <c r="G36" s="26"/>
      <c r="H36" s="26"/>
    </row>
    <row r="37" spans="2:8" x14ac:dyDescent="0.25">
      <c r="B37" s="31" t="s">
        <v>178</v>
      </c>
      <c r="C37" s="26"/>
      <c r="D37" s="26">
        <f>(C37)*0.4</f>
        <v>0</v>
      </c>
      <c r="E37" s="26">
        <f>(C37)*0.1</f>
        <v>0</v>
      </c>
      <c r="F37" s="26">
        <f>D37+E37</f>
        <v>0</v>
      </c>
      <c r="G37" s="26"/>
      <c r="H37" s="26"/>
    </row>
    <row r="38" spans="2:8" x14ac:dyDescent="0.25">
      <c r="B38" s="31"/>
      <c r="C38" s="29">
        <f>SUM(C34:C37)</f>
        <v>0</v>
      </c>
      <c r="D38" s="29">
        <f>SUM(D34:D37)</f>
        <v>0</v>
      </c>
      <c r="E38" s="29">
        <f>SUM(E34:E37)</f>
        <v>0</v>
      </c>
      <c r="F38" s="29">
        <f>SUM(F34:F37)</f>
        <v>0</v>
      </c>
      <c r="G38" s="26"/>
      <c r="H38" s="26"/>
    </row>
    <row r="39" spans="2:8" ht="15" customHeight="1" x14ac:dyDescent="0.25">
      <c r="B39" s="45" t="s">
        <v>179</v>
      </c>
      <c r="C39" s="45">
        <f>SUM(C38,C32,C27,C21,C15)</f>
        <v>0</v>
      </c>
      <c r="D39" s="45">
        <f>SUM(D38,D32,D27,D21,D15)</f>
        <v>0</v>
      </c>
      <c r="E39" s="45">
        <f>SUM(E38,E32,E27,E21,E15)</f>
        <v>0</v>
      </c>
      <c r="F39" s="47">
        <f>SUM(F10:F38)</f>
        <v>0</v>
      </c>
      <c r="G39" s="48"/>
      <c r="H39" s="49"/>
    </row>
    <row r="40" spans="2:8" ht="15" customHeight="1" x14ac:dyDescent="0.25">
      <c r="B40" s="45"/>
      <c r="C40" s="45"/>
      <c r="D40" s="45"/>
      <c r="E40" s="45"/>
      <c r="F40" s="50"/>
      <c r="G40" s="51"/>
      <c r="H40" s="52"/>
    </row>
    <row r="41" spans="2:8" ht="18.75" x14ac:dyDescent="0.3">
      <c r="B41" s="35">
        <v>1436303.1000000013</v>
      </c>
      <c r="C41" s="25">
        <v>1963396.25</v>
      </c>
      <c r="E41" s="36" t="s">
        <v>180</v>
      </c>
      <c r="F41" s="53">
        <f>SUM(G10:G38)</f>
        <v>0</v>
      </c>
      <c r="G41" s="54"/>
      <c r="H41" s="55"/>
    </row>
    <row r="42" spans="2:8" ht="18" x14ac:dyDescent="0.25">
      <c r="C42" s="25">
        <f>C39-C41</f>
        <v>-1963396.25</v>
      </c>
      <c r="E42" s="36" t="s">
        <v>181</v>
      </c>
      <c r="F42" s="56">
        <f>F39+F41</f>
        <v>0</v>
      </c>
      <c r="G42" s="57"/>
      <c r="H42" s="58"/>
    </row>
    <row r="45" spans="2:8" x14ac:dyDescent="0.25">
      <c r="F45" s="25">
        <v>622391.91790000012</v>
      </c>
    </row>
    <row r="47" spans="2:8" x14ac:dyDescent="0.25">
      <c r="F47" s="25">
        <f>F42+'[1]Juillet 2020'!F42</f>
        <v>312980.60175749997</v>
      </c>
    </row>
    <row r="50" spans="2:6" x14ac:dyDescent="0.25">
      <c r="C50" s="25">
        <v>16486.55</v>
      </c>
    </row>
    <row r="56" spans="2:6" x14ac:dyDescent="0.25">
      <c r="B56" s="25" t="s">
        <v>99</v>
      </c>
      <c r="C56" s="25">
        <v>2000</v>
      </c>
      <c r="F56" s="25">
        <f>+C56</f>
        <v>2000</v>
      </c>
    </row>
    <row r="57" spans="2:6" x14ac:dyDescent="0.25">
      <c r="B57" s="25" t="s">
        <v>100</v>
      </c>
      <c r="C57" s="25">
        <v>46375</v>
      </c>
      <c r="E57" s="25">
        <f>C57</f>
        <v>46375</v>
      </c>
    </row>
    <row r="58" spans="2:6" x14ac:dyDescent="0.25">
      <c r="B58" s="25" t="s">
        <v>101</v>
      </c>
      <c r="C58" s="25">
        <v>504218.77</v>
      </c>
      <c r="E58" s="25">
        <f t="shared" ref="E58:E62" si="0">C58</f>
        <v>504218.77</v>
      </c>
    </row>
    <row r="59" spans="2:6" x14ac:dyDescent="0.25">
      <c r="B59" s="25" t="s">
        <v>102</v>
      </c>
      <c r="C59" s="25">
        <v>149720</v>
      </c>
      <c r="E59" s="25">
        <f t="shared" si="0"/>
        <v>149720</v>
      </c>
    </row>
    <row r="60" spans="2:6" x14ac:dyDescent="0.25">
      <c r="B60" s="37" t="s">
        <v>182</v>
      </c>
      <c r="C60" s="37">
        <v>60000</v>
      </c>
      <c r="D60" s="37"/>
      <c r="E60" s="25">
        <f t="shared" si="0"/>
        <v>60000</v>
      </c>
    </row>
    <row r="61" spans="2:6" x14ac:dyDescent="0.25">
      <c r="B61" s="37" t="s">
        <v>183</v>
      </c>
      <c r="C61" s="37">
        <v>90000</v>
      </c>
      <c r="D61" s="37"/>
      <c r="E61" s="25">
        <f t="shared" si="0"/>
        <v>90000</v>
      </c>
    </row>
    <row r="62" spans="2:6" x14ac:dyDescent="0.25">
      <c r="B62" s="25" t="s">
        <v>105</v>
      </c>
      <c r="C62" s="25">
        <v>80008.789999999994</v>
      </c>
      <c r="E62" s="25">
        <f t="shared" si="0"/>
        <v>80008.789999999994</v>
      </c>
    </row>
    <row r="63" spans="2:6" x14ac:dyDescent="0.25">
      <c r="B63" s="25" t="s">
        <v>106</v>
      </c>
      <c r="C63" s="25">
        <v>772702.64</v>
      </c>
      <c r="D63" s="25">
        <f>C63</f>
        <v>772702.64</v>
      </c>
    </row>
    <row r="64" spans="2:6" x14ac:dyDescent="0.25">
      <c r="B64" s="25" t="s">
        <v>107</v>
      </c>
      <c r="C64" s="25">
        <v>10273.61</v>
      </c>
      <c r="D64" s="25">
        <f>C64</f>
        <v>10273.61</v>
      </c>
    </row>
    <row r="65" spans="4:6" x14ac:dyDescent="0.25">
      <c r="D65" s="25">
        <f>SUM(D56:D64)+C50</f>
        <v>799462.8</v>
      </c>
      <c r="E65" s="25">
        <f>SUM(E56:E64)</f>
        <v>930322.56</v>
      </c>
      <c r="F65" s="25">
        <f>SUM(F56:F64)</f>
        <v>2000</v>
      </c>
    </row>
  </sheetData>
  <mergeCells count="8">
    <mergeCell ref="C3:D3"/>
    <mergeCell ref="F39:H40"/>
    <mergeCell ref="F41:H41"/>
    <mergeCell ref="F42:H42"/>
    <mergeCell ref="B39:B40"/>
    <mergeCell ref="C39:C40"/>
    <mergeCell ref="D39:D40"/>
    <mergeCell ref="E39:E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D283-F05A-430A-8378-3AF878EC904C}">
  <dimension ref="A1:F53"/>
  <sheetViews>
    <sheetView topLeftCell="A22" workbookViewId="0">
      <selection activeCell="F54" sqref="F54"/>
    </sheetView>
  </sheetViews>
  <sheetFormatPr baseColWidth="10" defaultRowHeight="15" x14ac:dyDescent="0.25"/>
  <cols>
    <col min="1" max="1" width="30.28515625" customWidth="1"/>
    <col min="2" max="2" width="18.28515625" customWidth="1"/>
    <col min="3" max="3" width="23.140625" customWidth="1"/>
    <col min="4" max="4" width="18.7109375" customWidth="1"/>
    <col min="6" max="6" width="20.28515625" customWidth="1"/>
  </cols>
  <sheetData>
    <row r="1" spans="1:6" x14ac:dyDescent="0.25">
      <c r="A1" s="40" t="s">
        <v>184</v>
      </c>
      <c r="B1" s="25"/>
      <c r="C1" s="25"/>
      <c r="D1" s="25"/>
      <c r="E1" s="25"/>
    </row>
    <row r="2" spans="1:6" x14ac:dyDescent="0.25">
      <c r="A2" s="40" t="s">
        <v>191</v>
      </c>
      <c r="B2" s="25"/>
      <c r="C2" s="25"/>
      <c r="D2" s="25"/>
      <c r="E2" s="25"/>
    </row>
    <row r="3" spans="1:6" x14ac:dyDescent="0.25">
      <c r="A3" s="25"/>
      <c r="B3" s="46" t="s">
        <v>192</v>
      </c>
      <c r="C3" s="46"/>
      <c r="D3" s="25"/>
      <c r="E3" s="25"/>
    </row>
    <row r="4" spans="1:6" x14ac:dyDescent="0.25">
      <c r="A4" s="38" t="s">
        <v>194</v>
      </c>
      <c r="B4" s="25"/>
      <c r="C4" s="25"/>
      <c r="D4" s="25"/>
      <c r="E4" s="25"/>
    </row>
    <row r="5" spans="1:6" x14ac:dyDescent="0.25">
      <c r="A5" s="38" t="s">
        <v>187</v>
      </c>
      <c r="B5" s="25"/>
      <c r="C5" s="25"/>
      <c r="D5" s="25"/>
      <c r="E5" s="25"/>
    </row>
    <row r="6" spans="1:6" x14ac:dyDescent="0.25">
      <c r="A6" s="38" t="s">
        <v>193</v>
      </c>
      <c r="B6" s="25"/>
      <c r="C6" s="25"/>
      <c r="D6" s="25"/>
      <c r="E6" s="25"/>
    </row>
    <row r="7" spans="1:6" x14ac:dyDescent="0.25">
      <c r="A7" s="38" t="s">
        <v>213</v>
      </c>
      <c r="B7" s="25"/>
      <c r="C7" s="25"/>
      <c r="D7" s="25"/>
      <c r="E7" s="25"/>
    </row>
    <row r="8" spans="1:6" x14ac:dyDescent="0.25">
      <c r="A8" s="38" t="s">
        <v>195</v>
      </c>
      <c r="B8" s="25"/>
      <c r="C8" s="25"/>
      <c r="D8" s="25"/>
      <c r="E8" s="25"/>
    </row>
    <row r="9" spans="1:6" x14ac:dyDescent="0.25">
      <c r="A9" s="38" t="s">
        <v>189</v>
      </c>
      <c r="B9" s="25"/>
      <c r="C9" s="25"/>
      <c r="D9" s="25"/>
      <c r="E9" s="25"/>
    </row>
    <row r="10" spans="1:6" x14ac:dyDescent="0.25">
      <c r="A10" s="38"/>
    </row>
    <row r="11" spans="1:6" x14ac:dyDescent="0.25">
      <c r="A11" s="43" t="s">
        <v>190</v>
      </c>
      <c r="B11" s="44" t="s">
        <v>196</v>
      </c>
      <c r="C11" s="44" t="s">
        <v>214</v>
      </c>
      <c r="D11" s="44" t="s">
        <v>197</v>
      </c>
      <c r="E11" s="44" t="s">
        <v>198</v>
      </c>
      <c r="F11" s="44" t="s">
        <v>199</v>
      </c>
    </row>
    <row r="12" spans="1:6" x14ac:dyDescent="0.25">
      <c r="A12" s="41" t="s">
        <v>200</v>
      </c>
      <c r="B12" s="42"/>
      <c r="C12" s="42"/>
      <c r="D12" s="42"/>
      <c r="E12" s="42"/>
      <c r="F12" s="42"/>
    </row>
    <row r="13" spans="1:6" x14ac:dyDescent="0.25">
      <c r="A13" s="41" t="s">
        <v>201</v>
      </c>
      <c r="B13" s="42"/>
      <c r="C13" s="42"/>
      <c r="D13" s="42"/>
      <c r="E13" s="42"/>
      <c r="F13" s="42"/>
    </row>
    <row r="14" spans="1:6" x14ac:dyDescent="0.25">
      <c r="A14" s="41" t="s">
        <v>202</v>
      </c>
      <c r="B14" s="42"/>
      <c r="C14" s="42"/>
      <c r="D14" s="42"/>
      <c r="E14" s="42"/>
      <c r="F14" s="42"/>
    </row>
    <row r="15" spans="1:6" x14ac:dyDescent="0.25">
      <c r="A15" s="41" t="s">
        <v>203</v>
      </c>
      <c r="B15" s="42"/>
      <c r="C15" s="42"/>
      <c r="D15" s="42"/>
      <c r="E15" s="42"/>
      <c r="F15" s="42"/>
    </row>
    <row r="16" spans="1:6" x14ac:dyDescent="0.25">
      <c r="A16" s="41" t="s">
        <v>205</v>
      </c>
      <c r="B16" s="42"/>
      <c r="C16" s="42"/>
      <c r="D16" s="42"/>
      <c r="E16" s="42"/>
      <c r="F16" s="42"/>
    </row>
    <row r="17" spans="1:6" x14ac:dyDescent="0.25">
      <c r="A17" s="41" t="s">
        <v>28</v>
      </c>
      <c r="B17" s="42"/>
      <c r="C17" s="42"/>
      <c r="D17" s="42"/>
      <c r="E17" s="42"/>
      <c r="F17" s="42"/>
    </row>
    <row r="18" spans="1:6" x14ac:dyDescent="0.25">
      <c r="A18" s="41" t="s">
        <v>30</v>
      </c>
      <c r="B18" s="42"/>
      <c r="C18" s="42"/>
      <c r="D18" s="42"/>
      <c r="E18" s="42"/>
      <c r="F18" s="42"/>
    </row>
    <row r="19" spans="1:6" x14ac:dyDescent="0.25">
      <c r="A19" s="41" t="s">
        <v>32</v>
      </c>
      <c r="B19" s="42"/>
      <c r="C19" s="42"/>
      <c r="D19" s="42"/>
      <c r="E19" s="42"/>
      <c r="F19" s="42"/>
    </row>
    <row r="20" spans="1:6" x14ac:dyDescent="0.25">
      <c r="A20" s="12" t="s">
        <v>80</v>
      </c>
      <c r="B20" s="42"/>
      <c r="C20" s="42"/>
      <c r="D20" s="42"/>
      <c r="E20" s="42"/>
      <c r="F20" s="42"/>
    </row>
    <row r="21" spans="1:6" x14ac:dyDescent="0.25">
      <c r="A21" s="12" t="s">
        <v>82</v>
      </c>
      <c r="B21" s="42"/>
      <c r="C21" s="42"/>
      <c r="D21" s="42"/>
      <c r="E21" s="42"/>
      <c r="F21" s="42"/>
    </row>
    <row r="22" spans="1:6" x14ac:dyDescent="0.25">
      <c r="A22" s="12" t="s">
        <v>84</v>
      </c>
      <c r="B22" s="42"/>
      <c r="C22" s="42"/>
      <c r="D22" s="42"/>
      <c r="E22" s="42"/>
      <c r="F22" s="42"/>
    </row>
    <row r="23" spans="1:6" x14ac:dyDescent="0.25">
      <c r="A23" s="12" t="s">
        <v>86</v>
      </c>
      <c r="B23" s="42"/>
      <c r="C23" s="42"/>
      <c r="D23" s="42"/>
      <c r="E23" s="42"/>
      <c r="F23" s="42"/>
    </row>
    <row r="24" spans="1:6" x14ac:dyDescent="0.25">
      <c r="A24" s="12" t="s">
        <v>88</v>
      </c>
      <c r="B24" s="42"/>
      <c r="C24" s="42"/>
      <c r="D24" s="42"/>
      <c r="E24" s="42"/>
      <c r="F24" s="42"/>
    </row>
    <row r="25" spans="1:6" x14ac:dyDescent="0.25">
      <c r="A25" s="12" t="s">
        <v>90</v>
      </c>
      <c r="B25" s="42"/>
      <c r="C25" s="42"/>
      <c r="D25" s="42"/>
      <c r="E25" s="42"/>
      <c r="F25" s="42"/>
    </row>
    <row r="26" spans="1:6" x14ac:dyDescent="0.25">
      <c r="A26" s="12" t="s">
        <v>92</v>
      </c>
      <c r="B26" s="42"/>
      <c r="C26" s="42"/>
      <c r="D26" s="42"/>
      <c r="E26" s="42"/>
      <c r="F26" s="42"/>
    </row>
    <row r="27" spans="1:6" x14ac:dyDescent="0.25">
      <c r="A27" s="12" t="s">
        <v>94</v>
      </c>
      <c r="B27" s="42"/>
      <c r="C27" s="42"/>
      <c r="D27" s="42"/>
      <c r="E27" s="42"/>
      <c r="F27" s="42"/>
    </row>
    <row r="28" spans="1:6" x14ac:dyDescent="0.25">
      <c r="A28" s="41" t="s">
        <v>204</v>
      </c>
      <c r="B28" s="42"/>
      <c r="C28" s="42"/>
      <c r="D28" s="42"/>
      <c r="E28" s="42"/>
      <c r="F28" s="42"/>
    </row>
    <row r="29" spans="1:6" x14ac:dyDescent="0.25">
      <c r="A29" s="41" t="s">
        <v>60</v>
      </c>
      <c r="B29" s="42"/>
      <c r="C29" s="42"/>
      <c r="D29" s="42"/>
      <c r="E29" s="42"/>
      <c r="F29" s="42"/>
    </row>
    <row r="30" spans="1:6" x14ac:dyDescent="0.25">
      <c r="A30" s="41" t="s">
        <v>72</v>
      </c>
      <c r="B30" s="42"/>
      <c r="C30" s="42"/>
      <c r="D30" s="42"/>
      <c r="E30" s="42"/>
      <c r="F30" s="42"/>
    </row>
    <row r="31" spans="1:6" x14ac:dyDescent="0.25">
      <c r="A31" s="41" t="s">
        <v>58</v>
      </c>
      <c r="B31" s="42"/>
      <c r="C31" s="42"/>
      <c r="D31" s="42"/>
      <c r="E31" s="42"/>
      <c r="F31" s="42"/>
    </row>
    <row r="32" spans="1:6" x14ac:dyDescent="0.25">
      <c r="A32" s="13" t="s">
        <v>54</v>
      </c>
      <c r="B32" s="42"/>
      <c r="C32" s="42"/>
      <c r="D32" s="42"/>
      <c r="E32" s="42"/>
      <c r="F32" s="42"/>
    </row>
    <row r="33" spans="1:6" x14ac:dyDescent="0.25">
      <c r="A33" s="13" t="s">
        <v>56</v>
      </c>
      <c r="B33" s="42"/>
      <c r="C33" s="42"/>
      <c r="D33" s="42"/>
      <c r="E33" s="42"/>
      <c r="F33" s="42"/>
    </row>
    <row r="34" spans="1:6" x14ac:dyDescent="0.25">
      <c r="A34" s="6" t="s">
        <v>62</v>
      </c>
      <c r="B34" s="42"/>
      <c r="C34" s="42"/>
      <c r="D34" s="42"/>
      <c r="E34" s="42"/>
      <c r="F34" s="42"/>
    </row>
    <row r="35" spans="1:6" x14ac:dyDescent="0.25">
      <c r="A35" s="6" t="s">
        <v>64</v>
      </c>
      <c r="B35" s="42"/>
      <c r="C35" s="42"/>
      <c r="D35" s="42"/>
      <c r="E35" s="42"/>
      <c r="F35" s="42"/>
    </row>
    <row r="36" spans="1:6" x14ac:dyDescent="0.25">
      <c r="A36" s="6" t="s">
        <v>66</v>
      </c>
      <c r="B36" s="42"/>
      <c r="C36" s="42"/>
      <c r="D36" s="42"/>
      <c r="E36" s="42"/>
      <c r="F36" s="42"/>
    </row>
    <row r="37" spans="1:6" x14ac:dyDescent="0.25">
      <c r="A37" s="6" t="s">
        <v>68</v>
      </c>
      <c r="B37" s="42"/>
      <c r="C37" s="42"/>
      <c r="D37" s="42"/>
      <c r="E37" s="42"/>
      <c r="F37" s="42"/>
    </row>
    <row r="38" spans="1:6" x14ac:dyDescent="0.25">
      <c r="A38" s="6" t="s">
        <v>70</v>
      </c>
      <c r="B38" s="42"/>
      <c r="C38" s="42"/>
      <c r="D38" s="42"/>
      <c r="E38" s="42"/>
      <c r="F38" s="42"/>
    </row>
    <row r="39" spans="1:6" x14ac:dyDescent="0.25">
      <c r="A39" s="6" t="s">
        <v>72</v>
      </c>
      <c r="B39" s="42"/>
      <c r="C39" s="42"/>
      <c r="D39" s="42"/>
      <c r="E39" s="42"/>
      <c r="F39" s="42"/>
    </row>
    <row r="40" spans="1:6" x14ac:dyDescent="0.25">
      <c r="A40" s="12" t="s">
        <v>18</v>
      </c>
      <c r="B40" s="42"/>
      <c r="C40" s="42"/>
      <c r="D40" s="42"/>
      <c r="E40" s="42"/>
      <c r="F40" s="42"/>
    </row>
    <row r="41" spans="1:6" x14ac:dyDescent="0.25">
      <c r="A41" s="12" t="s">
        <v>20</v>
      </c>
      <c r="B41" s="42"/>
      <c r="C41" s="42"/>
      <c r="D41" s="42"/>
      <c r="E41" s="42"/>
      <c r="F41" s="42"/>
    </row>
    <row r="42" spans="1:6" x14ac:dyDescent="0.25">
      <c r="A42" s="12" t="s">
        <v>22</v>
      </c>
      <c r="B42" s="42"/>
      <c r="C42" s="42"/>
      <c r="D42" s="42"/>
      <c r="E42" s="42"/>
      <c r="F42" s="42"/>
    </row>
    <row r="43" spans="1:6" x14ac:dyDescent="0.25">
      <c r="A43" s="16" t="s">
        <v>74</v>
      </c>
      <c r="B43" s="42"/>
      <c r="C43" s="42"/>
      <c r="D43" s="42"/>
      <c r="E43" s="42"/>
      <c r="F43" s="42"/>
    </row>
    <row r="44" spans="1:6" x14ac:dyDescent="0.25">
      <c r="A44" s="17" t="s">
        <v>206</v>
      </c>
      <c r="B44" s="42"/>
      <c r="C44" s="42"/>
      <c r="D44" s="42"/>
      <c r="E44" s="42"/>
      <c r="F44" s="42"/>
    </row>
    <row r="45" spans="1:6" x14ac:dyDescent="0.25">
      <c r="A45" s="17" t="s">
        <v>207</v>
      </c>
      <c r="B45" s="42"/>
      <c r="C45" s="42"/>
      <c r="D45" s="42"/>
      <c r="E45" s="42"/>
      <c r="F45" s="42"/>
    </row>
    <row r="46" spans="1:6" x14ac:dyDescent="0.25">
      <c r="A46" s="17" t="s">
        <v>208</v>
      </c>
      <c r="B46" s="42"/>
      <c r="C46" s="42"/>
      <c r="D46" s="42"/>
      <c r="E46" s="42"/>
      <c r="F46" s="42"/>
    </row>
    <row r="47" spans="1:6" x14ac:dyDescent="0.25">
      <c r="A47" s="17" t="s">
        <v>209</v>
      </c>
      <c r="B47" s="42"/>
      <c r="C47" s="42"/>
      <c r="D47" s="42"/>
      <c r="E47" s="42"/>
      <c r="F47" s="42"/>
    </row>
    <row r="48" spans="1:6" x14ac:dyDescent="0.25">
      <c r="A48" s="17" t="s">
        <v>210</v>
      </c>
      <c r="B48" s="42"/>
      <c r="C48" s="42"/>
      <c r="D48" s="42"/>
      <c r="E48" s="42"/>
      <c r="F48" s="42"/>
    </row>
    <row r="49" spans="1:6" x14ac:dyDescent="0.25">
      <c r="A49" s="17" t="s">
        <v>211</v>
      </c>
      <c r="B49" s="42"/>
      <c r="C49" s="42"/>
      <c r="D49" s="42"/>
      <c r="E49" s="42"/>
      <c r="F49" s="42"/>
    </row>
    <row r="50" spans="1:6" x14ac:dyDescent="0.25">
      <c r="A50" s="17" t="s">
        <v>212</v>
      </c>
      <c r="B50" s="42"/>
      <c r="C50" s="42"/>
      <c r="D50" s="42"/>
      <c r="E50" s="42"/>
      <c r="F50" s="42"/>
    </row>
    <row r="51" spans="1:6" x14ac:dyDescent="0.25">
      <c r="E51" t="s">
        <v>215</v>
      </c>
      <c r="F51">
        <f>SUM(D12:D50)</f>
        <v>0</v>
      </c>
    </row>
    <row r="52" spans="1:6" x14ac:dyDescent="0.25">
      <c r="E52" t="s">
        <v>216</v>
      </c>
      <c r="F52">
        <f>SUM(E12:E50)</f>
        <v>0</v>
      </c>
    </row>
    <row r="53" spans="1:6" x14ac:dyDescent="0.25">
      <c r="E53" t="s">
        <v>217</v>
      </c>
      <c r="F53">
        <f>F51+F52</f>
        <v>0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</vt:lpstr>
      <vt:lpstr>AGA</vt:lpstr>
      <vt:lpstr>Courtier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2026-09-15T10:11:20Z</dcterms:created>
  <dcterms:modified xsi:type="dcterms:W3CDTF">2026-09-20T12:23:52Z</dcterms:modified>
</cp:coreProperties>
</file>