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 Projets\CURSOR\Comission\Docs\"/>
    </mc:Choice>
  </mc:AlternateContent>
  <xr:revisionPtr revIDLastSave="0" documentId="13_ncr:1_{26C94191-82F7-4AF8-BED4-C6AA6B59F413}" xr6:coauthVersionLast="36" xr6:coauthVersionMax="36" xr10:uidLastSave="{00000000-0000-0000-0000-000000000000}"/>
  <bookViews>
    <workbookView xWindow="0" yWindow="0" windowWidth="28800" windowHeight="12900" xr2:uid="{C4BC85CB-94BC-45B0-9DC5-73F71F0786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4" i="1" l="1"/>
  <c r="F35" i="1" s="1"/>
  <c r="F36" i="1" s="1"/>
  <c r="G33" i="1"/>
  <c r="C32" i="1"/>
  <c r="E32" i="1" s="1"/>
  <c r="G32" i="1" s="1"/>
  <c r="C31" i="1"/>
  <c r="E31" i="1" s="1"/>
  <c r="G31" i="1" s="1"/>
  <c r="C30" i="1"/>
  <c r="E30" i="1" s="1"/>
  <c r="G30" i="1" s="1"/>
  <c r="C29" i="1"/>
  <c r="E29" i="1" s="1"/>
  <c r="G29" i="1" s="1"/>
  <c r="C28" i="1"/>
  <c r="E28" i="1" s="1"/>
  <c r="G28" i="1" s="1"/>
  <c r="C27" i="1"/>
  <c r="E27" i="1" s="1"/>
  <c r="G27" i="1" s="1"/>
  <c r="C26" i="1"/>
  <c r="E26" i="1" s="1"/>
  <c r="G26" i="1" s="1"/>
  <c r="C25" i="1"/>
  <c r="C33" i="1" s="1"/>
  <c r="C34" i="1" s="1"/>
  <c r="M21" i="1"/>
  <c r="L21" i="1"/>
  <c r="J21" i="1"/>
  <c r="I21" i="1"/>
  <c r="H21" i="1"/>
  <c r="G21" i="1"/>
  <c r="K20" i="1"/>
  <c r="K21" i="1" s="1"/>
  <c r="E25" i="1" l="1"/>
  <c r="E34" i="1"/>
  <c r="G34" i="1" s="1"/>
  <c r="G25" i="1"/>
  <c r="E35" i="1" l="1"/>
  <c r="G35" i="1" s="1"/>
  <c r="E36" i="1" l="1"/>
  <c r="G36" i="1" s="1"/>
</calcChain>
</file>

<file path=xl/sharedStrings.xml><?xml version="1.0" encoding="utf-8"?>
<sst xmlns="http://schemas.openxmlformats.org/spreadsheetml/2006/main" count="65" uniqueCount="57">
  <si>
    <t xml:space="preserve">Succursale Sud                                              </t>
  </si>
  <si>
    <t xml:space="preserve">Département commercial </t>
  </si>
  <si>
    <t xml:space="preserve">Client : </t>
  </si>
  <si>
    <r>
      <t xml:space="preserve">OPGI TAMANRASSET 350021468/0 </t>
    </r>
    <r>
      <rPr>
        <b/>
        <sz val="12"/>
        <color rgb="FFFF0000"/>
        <rFont val="Calibri"/>
        <family val="2"/>
      </rPr>
      <t>&amp; 350007276/0</t>
    </r>
  </si>
  <si>
    <t xml:space="preserve">Courtier : </t>
  </si>
  <si>
    <t>715 CAPASSURANCE</t>
  </si>
  <si>
    <t xml:space="preserve">EXERCICE </t>
  </si>
  <si>
    <t>Police</t>
  </si>
  <si>
    <t>Branche</t>
  </si>
  <si>
    <t>Date d'émission</t>
  </si>
  <si>
    <t>Date d'éffet</t>
  </si>
  <si>
    <t>Date d'échéanche</t>
  </si>
  <si>
    <t>Prime Nette</t>
  </si>
  <si>
    <t>VRC</t>
  </si>
  <si>
    <t>VRCV</t>
  </si>
  <si>
    <t xml:space="preserve">ASSISTANSE </t>
  </si>
  <si>
    <t xml:space="preserve">Dommages </t>
  </si>
  <si>
    <t>CP</t>
  </si>
  <si>
    <t>Prime ttc</t>
  </si>
  <si>
    <t>350/CN/3909/0/0</t>
  </si>
  <si>
    <t>CN</t>
  </si>
  <si>
    <t>350/CN/3910/0/0</t>
  </si>
  <si>
    <t>350/CN/3911/0/0</t>
  </si>
  <si>
    <t>350/CN/3912/0/0</t>
  </si>
  <si>
    <t>350/CN/3913/0/0</t>
  </si>
  <si>
    <t>350/CN/3914/0/0</t>
  </si>
  <si>
    <t>350/IM/5/0/0</t>
  </si>
  <si>
    <t>IM</t>
  </si>
  <si>
    <t>350/IN/27/0/0</t>
  </si>
  <si>
    <t>IN</t>
  </si>
  <si>
    <t>350/RG/27/0/0</t>
  </si>
  <si>
    <t>RG</t>
  </si>
  <si>
    <t>350/TI/23/0/0</t>
  </si>
  <si>
    <t>TI</t>
  </si>
  <si>
    <t>350/VM/17/0/0</t>
  </si>
  <si>
    <t>VM</t>
  </si>
  <si>
    <t>350/VF/349/0/0</t>
  </si>
  <si>
    <t>VF</t>
  </si>
  <si>
    <t xml:space="preserve">TOTAL </t>
  </si>
  <si>
    <t>P-NET</t>
  </si>
  <si>
    <t>TAUX</t>
  </si>
  <si>
    <t>COM-HT</t>
  </si>
  <si>
    <t>VOTR-COM-HT</t>
  </si>
  <si>
    <t>Ecart</t>
  </si>
  <si>
    <t>RC AUTO</t>
  </si>
  <si>
    <t>GARANTIES FACULT</t>
  </si>
  <si>
    <t xml:space="preserve">INCENDIE </t>
  </si>
  <si>
    <t>CAT-NAT</t>
  </si>
  <si>
    <t>RC G</t>
  </si>
  <si>
    <t xml:space="preserve">VOL </t>
  </si>
  <si>
    <t xml:space="preserve">T-Informatique </t>
  </si>
  <si>
    <t>TOTAL HT</t>
  </si>
  <si>
    <t>TVA 9%</t>
  </si>
  <si>
    <t>TOTAL T.T.C</t>
  </si>
  <si>
    <t>Vérification et Confirmation d'encaissement par le directeur d'Agence</t>
  </si>
  <si>
    <t>Exercice</t>
  </si>
  <si>
    <t xml:space="preserve">Détail de production courtier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</si>
</sst>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vertical="center"/>
    </xf>
    <xf numFmtId="164" fontId="0" fillId="0" borderId="0" xfId="1" applyFont="1"/>
    <xf numFmtId="0" fontId="5" fillId="0" borderId="0" xfId="0" applyFont="1" applyAlignment="1">
      <alignment horizontal="center" vertical="center"/>
    </xf>
    <xf numFmtId="164" fontId="5" fillId="0" borderId="0" xfId="1" applyFont="1" applyAlignment="1">
      <alignment vertical="center"/>
    </xf>
    <xf numFmtId="0" fontId="6" fillId="0" borderId="0" xfId="0" applyFont="1"/>
    <xf numFmtId="14" fontId="0" fillId="0" borderId="0" xfId="0" applyNumberFormat="1"/>
    <xf numFmtId="0" fontId="6" fillId="0" borderId="0" xfId="0" applyFont="1" applyAlignment="1">
      <alignment horizontal="left"/>
    </xf>
    <xf numFmtId="0" fontId="0" fillId="0" borderId="1" xfId="0" applyBorder="1"/>
    <xf numFmtId="14" fontId="0" fillId="0" borderId="1" xfId="0" applyNumberFormat="1" applyBorder="1"/>
    <xf numFmtId="164" fontId="0" fillId="0" borderId="1" xfId="1" applyFont="1" applyBorder="1"/>
    <xf numFmtId="0" fontId="2" fillId="0" borderId="1" xfId="0" applyFont="1" applyBorder="1" applyAlignment="1">
      <alignment horizontal="center"/>
    </xf>
    <xf numFmtId="164" fontId="0" fillId="0" borderId="2" xfId="0" applyNumberFormat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9" fontId="0" fillId="0" borderId="1" xfId="0" applyNumberFormat="1" applyBorder="1"/>
    <xf numFmtId="43" fontId="0" fillId="0" borderId="1" xfId="0" applyNumberFormat="1" applyBorder="1"/>
    <xf numFmtId="10" fontId="0" fillId="0" borderId="1" xfId="0" applyNumberFormat="1" applyBorder="1"/>
    <xf numFmtId="43" fontId="0" fillId="0" borderId="0" xfId="0" applyNumberFormat="1"/>
    <xf numFmtId="0" fontId="2" fillId="0" borderId="1" xfId="0" applyFont="1" applyBorder="1"/>
    <xf numFmtId="164" fontId="2" fillId="0" borderId="1" xfId="1" applyFont="1" applyBorder="1"/>
    <xf numFmtId="43" fontId="2" fillId="0" borderId="1" xfId="0" applyNumberFormat="1" applyFon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0</xdr:row>
      <xdr:rowOff>47625</xdr:rowOff>
    </xdr:from>
    <xdr:to>
      <xdr:col>12</xdr:col>
      <xdr:colOff>1009650</xdr:colOff>
      <xdr:row>2</xdr:row>
      <xdr:rowOff>355092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FDC3044-79DC-4FEF-98E7-FCA326F5F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7050" y="47625"/>
          <a:ext cx="971550" cy="783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B4A6-6A01-455D-BE97-DDEE62AA0936}">
  <sheetPr>
    <pageSetUpPr fitToPage="1"/>
  </sheetPr>
  <dimension ref="A1:M38"/>
  <sheetViews>
    <sheetView tabSelected="1" topLeftCell="A9" workbookViewId="0">
      <selection sqref="A1:M38"/>
    </sheetView>
  </sheetViews>
  <sheetFormatPr baseColWidth="10" defaultRowHeight="15" x14ac:dyDescent="0.25"/>
  <cols>
    <col min="1" max="1" width="11" customWidth="1"/>
    <col min="2" max="2" width="16.85546875" customWidth="1"/>
    <col min="3" max="3" width="16" customWidth="1"/>
    <col min="4" max="4" width="15.7109375" customWidth="1"/>
    <col min="5" max="5" width="15.140625" customWidth="1"/>
    <col min="6" max="6" width="16.140625" customWidth="1"/>
    <col min="7" max="7" width="15.7109375" customWidth="1"/>
    <col min="9" max="9" width="6" customWidth="1"/>
    <col min="10" max="10" width="12.5703125" customWidth="1"/>
    <col min="11" max="11" width="13.85546875" customWidth="1"/>
    <col min="12" max="12" width="9.28515625" customWidth="1"/>
    <col min="13" max="13" width="17.140625" customWidth="1"/>
    <col min="14" max="14" width="14" customWidth="1"/>
    <col min="15" max="16" width="11.7109375" bestFit="1" customWidth="1"/>
    <col min="17" max="17" width="12.7109375" bestFit="1" customWidth="1"/>
  </cols>
  <sheetData>
    <row r="1" spans="1:13" ht="18.75" x14ac:dyDescent="0.25">
      <c r="A1" s="1" t="s">
        <v>0</v>
      </c>
      <c r="B1" s="1"/>
      <c r="J1" s="2"/>
      <c r="K1" s="2"/>
      <c r="L1" s="2"/>
    </row>
    <row r="2" spans="1:13" ht="18.75" x14ac:dyDescent="0.25">
      <c r="A2" s="1" t="s">
        <v>1</v>
      </c>
      <c r="B2" s="1"/>
      <c r="J2" s="2"/>
      <c r="K2" s="2"/>
      <c r="L2" s="2"/>
    </row>
    <row r="3" spans="1:13" ht="28.5" x14ac:dyDescent="0.25">
      <c r="A3" s="25" t="s">
        <v>56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3" ht="23.25" x14ac:dyDescent="0.25">
      <c r="A4" s="3"/>
      <c r="B4" s="3"/>
      <c r="C4" s="3"/>
      <c r="D4" s="3"/>
      <c r="E4" s="3"/>
      <c r="F4" s="3"/>
      <c r="G4" s="3"/>
      <c r="H4" s="3"/>
      <c r="I4" s="3"/>
      <c r="J4" s="4"/>
      <c r="K4" s="2"/>
      <c r="L4" s="2"/>
    </row>
    <row r="5" spans="1:13" ht="15.75" x14ac:dyDescent="0.25">
      <c r="A5" s="5" t="s">
        <v>2</v>
      </c>
      <c r="B5" s="5" t="s">
        <v>3</v>
      </c>
      <c r="D5" s="6"/>
      <c r="E5" s="6"/>
      <c r="F5" s="6"/>
      <c r="G5" s="6"/>
      <c r="H5" s="6"/>
      <c r="I5" s="6"/>
      <c r="J5" s="2"/>
      <c r="K5" s="2"/>
      <c r="L5" s="2"/>
    </row>
    <row r="6" spans="1:13" ht="15.75" x14ac:dyDescent="0.25">
      <c r="A6" s="5" t="s">
        <v>4</v>
      </c>
      <c r="B6" s="5" t="s">
        <v>5</v>
      </c>
      <c r="J6" s="2"/>
      <c r="K6" s="2"/>
      <c r="L6" s="2"/>
    </row>
    <row r="7" spans="1:13" ht="15.75" x14ac:dyDescent="0.25">
      <c r="A7" s="5" t="s">
        <v>6</v>
      </c>
      <c r="B7" s="7">
        <v>2026</v>
      </c>
      <c r="J7" s="2"/>
      <c r="K7" s="2"/>
      <c r="L7" s="2"/>
    </row>
    <row r="8" spans="1:13" ht="30" x14ac:dyDescent="0.25">
      <c r="A8" s="23" t="s">
        <v>55</v>
      </c>
      <c r="B8" s="23" t="s">
        <v>7</v>
      </c>
      <c r="C8" s="23" t="s">
        <v>8</v>
      </c>
      <c r="D8" s="23" t="s">
        <v>9</v>
      </c>
      <c r="E8" s="23" t="s">
        <v>10</v>
      </c>
      <c r="F8" s="23" t="s">
        <v>11</v>
      </c>
      <c r="G8" s="23" t="s">
        <v>12</v>
      </c>
      <c r="H8" s="23" t="s">
        <v>13</v>
      </c>
      <c r="I8" s="23" t="s">
        <v>14</v>
      </c>
      <c r="J8" s="23" t="s">
        <v>15</v>
      </c>
      <c r="K8" s="23" t="s">
        <v>16</v>
      </c>
      <c r="L8" s="23" t="s">
        <v>17</v>
      </c>
      <c r="M8" s="23" t="s">
        <v>18</v>
      </c>
    </row>
    <row r="9" spans="1:13" x14ac:dyDescent="0.25">
      <c r="A9" s="24">
        <v>2026</v>
      </c>
      <c r="B9" s="8" t="s">
        <v>19</v>
      </c>
      <c r="C9" s="22" t="s">
        <v>20</v>
      </c>
      <c r="D9" s="9">
        <v>46021</v>
      </c>
      <c r="E9" s="9">
        <v>46023</v>
      </c>
      <c r="F9" s="9">
        <v>46387</v>
      </c>
      <c r="G9" s="10">
        <v>107163.67</v>
      </c>
      <c r="H9" s="10"/>
      <c r="I9" s="10"/>
      <c r="J9" s="10"/>
      <c r="K9" s="10"/>
      <c r="L9" s="10">
        <v>150</v>
      </c>
      <c r="M9" s="10">
        <v>107353.67</v>
      </c>
    </row>
    <row r="10" spans="1:13" x14ac:dyDescent="0.25">
      <c r="A10" s="24">
        <v>2026</v>
      </c>
      <c r="B10" s="8" t="s">
        <v>21</v>
      </c>
      <c r="C10" s="22" t="s">
        <v>20</v>
      </c>
      <c r="D10" s="9">
        <v>46021</v>
      </c>
      <c r="E10" s="9">
        <v>46023</v>
      </c>
      <c r="F10" s="9">
        <v>46387</v>
      </c>
      <c r="G10" s="10">
        <v>4092.74</v>
      </c>
      <c r="H10" s="10"/>
      <c r="I10" s="10"/>
      <c r="J10" s="10"/>
      <c r="K10" s="10"/>
      <c r="L10" s="10">
        <v>150</v>
      </c>
      <c r="M10" s="10">
        <v>4282.74</v>
      </c>
    </row>
    <row r="11" spans="1:13" x14ac:dyDescent="0.25">
      <c r="A11" s="24">
        <v>2026</v>
      </c>
      <c r="B11" s="8" t="s">
        <v>22</v>
      </c>
      <c r="C11" s="22" t="s">
        <v>20</v>
      </c>
      <c r="D11" s="9">
        <v>46021</v>
      </c>
      <c r="E11" s="9">
        <v>46023</v>
      </c>
      <c r="F11" s="9">
        <v>46387</v>
      </c>
      <c r="G11" s="10">
        <v>3308.31</v>
      </c>
      <c r="H11" s="10"/>
      <c r="I11" s="10"/>
      <c r="J11" s="10"/>
      <c r="K11" s="10"/>
      <c r="L11" s="10">
        <v>150</v>
      </c>
      <c r="M11" s="10">
        <v>3498.31</v>
      </c>
    </row>
    <row r="12" spans="1:13" x14ac:dyDescent="0.25">
      <c r="A12" s="24">
        <v>2026</v>
      </c>
      <c r="B12" s="8" t="s">
        <v>23</v>
      </c>
      <c r="C12" s="22" t="s">
        <v>20</v>
      </c>
      <c r="D12" s="9">
        <v>46021</v>
      </c>
      <c r="E12" s="9">
        <v>46023</v>
      </c>
      <c r="F12" s="9">
        <v>46387</v>
      </c>
      <c r="G12" s="10">
        <v>7002.19</v>
      </c>
      <c r="H12" s="10"/>
      <c r="I12" s="10"/>
      <c r="J12" s="10"/>
      <c r="K12" s="10"/>
      <c r="L12" s="10">
        <v>150</v>
      </c>
      <c r="M12" s="10">
        <v>7192.19</v>
      </c>
    </row>
    <row r="13" spans="1:13" x14ac:dyDescent="0.25">
      <c r="A13" s="24">
        <v>2026</v>
      </c>
      <c r="B13" s="8" t="s">
        <v>24</v>
      </c>
      <c r="C13" s="22" t="s">
        <v>20</v>
      </c>
      <c r="D13" s="9">
        <v>46021</v>
      </c>
      <c r="E13" s="9">
        <v>46023</v>
      </c>
      <c r="F13" s="9">
        <v>46387</v>
      </c>
      <c r="G13" s="10">
        <v>2886.58</v>
      </c>
      <c r="H13" s="10"/>
      <c r="I13" s="10"/>
      <c r="J13" s="10"/>
      <c r="K13" s="10"/>
      <c r="L13" s="10">
        <v>150</v>
      </c>
      <c r="M13" s="10">
        <v>3076.58</v>
      </c>
    </row>
    <row r="14" spans="1:13" x14ac:dyDescent="0.25">
      <c r="A14" s="24">
        <v>2026</v>
      </c>
      <c r="B14" s="8" t="s">
        <v>25</v>
      </c>
      <c r="C14" s="22" t="s">
        <v>20</v>
      </c>
      <c r="D14" s="9">
        <v>46021</v>
      </c>
      <c r="E14" s="9">
        <v>46023</v>
      </c>
      <c r="F14" s="9">
        <v>46387</v>
      </c>
      <c r="G14" s="10">
        <v>27957.02</v>
      </c>
      <c r="H14" s="10"/>
      <c r="I14" s="10"/>
      <c r="J14" s="10"/>
      <c r="K14" s="10"/>
      <c r="L14" s="10">
        <v>150</v>
      </c>
      <c r="M14" s="10">
        <v>28147.02</v>
      </c>
    </row>
    <row r="15" spans="1:13" x14ac:dyDescent="0.25">
      <c r="A15" s="24">
        <v>2026</v>
      </c>
      <c r="B15" s="8" t="s">
        <v>26</v>
      </c>
      <c r="C15" s="22" t="s">
        <v>27</v>
      </c>
      <c r="D15" s="9">
        <v>46021</v>
      </c>
      <c r="E15" s="9">
        <v>46023</v>
      </c>
      <c r="F15" s="9">
        <v>46387</v>
      </c>
      <c r="G15" s="10">
        <v>1805528.28</v>
      </c>
      <c r="H15" s="10"/>
      <c r="I15" s="10"/>
      <c r="J15" s="10"/>
      <c r="K15" s="10"/>
      <c r="L15" s="10">
        <v>500</v>
      </c>
      <c r="M15" s="10">
        <v>2149893.65</v>
      </c>
    </row>
    <row r="16" spans="1:13" x14ac:dyDescent="0.25">
      <c r="A16" s="24">
        <v>2026</v>
      </c>
      <c r="B16" s="8" t="s">
        <v>28</v>
      </c>
      <c r="C16" s="22" t="s">
        <v>29</v>
      </c>
      <c r="D16" s="9">
        <v>46021</v>
      </c>
      <c r="E16" s="9">
        <v>46023</v>
      </c>
      <c r="F16" s="9">
        <v>46387</v>
      </c>
      <c r="G16" s="10">
        <v>43824.51</v>
      </c>
      <c r="H16" s="10"/>
      <c r="I16" s="10"/>
      <c r="J16" s="10"/>
      <c r="K16" s="10"/>
      <c r="L16" s="10">
        <v>500</v>
      </c>
      <c r="M16" s="10">
        <v>53466.17</v>
      </c>
    </row>
    <row r="17" spans="1:13" x14ac:dyDescent="0.25">
      <c r="A17" s="24">
        <v>2026</v>
      </c>
      <c r="B17" s="8" t="s">
        <v>30</v>
      </c>
      <c r="C17" s="22" t="s">
        <v>31</v>
      </c>
      <c r="D17" s="9">
        <v>46021</v>
      </c>
      <c r="E17" s="9">
        <v>46023</v>
      </c>
      <c r="F17" s="9">
        <v>46387</v>
      </c>
      <c r="G17" s="10">
        <v>80000</v>
      </c>
      <c r="H17" s="10"/>
      <c r="I17" s="10"/>
      <c r="J17" s="10"/>
      <c r="K17" s="10"/>
      <c r="L17" s="10">
        <v>500</v>
      </c>
      <c r="M17" s="10">
        <v>96035</v>
      </c>
    </row>
    <row r="18" spans="1:13" x14ac:dyDescent="0.25">
      <c r="A18" s="24">
        <v>2026</v>
      </c>
      <c r="B18" s="8" t="s">
        <v>32</v>
      </c>
      <c r="C18" s="22" t="s">
        <v>33</v>
      </c>
      <c r="D18" s="9">
        <v>46021</v>
      </c>
      <c r="E18" s="9">
        <v>46023</v>
      </c>
      <c r="F18" s="9">
        <v>46387</v>
      </c>
      <c r="G18" s="10">
        <v>15165</v>
      </c>
      <c r="H18" s="10"/>
      <c r="I18" s="10"/>
      <c r="J18" s="10"/>
      <c r="K18" s="10"/>
      <c r="L18" s="10">
        <v>500</v>
      </c>
      <c r="M18" s="10">
        <v>18961.349999999999</v>
      </c>
    </row>
    <row r="19" spans="1:13" x14ac:dyDescent="0.25">
      <c r="A19" s="24">
        <v>2026</v>
      </c>
      <c r="B19" s="8" t="s">
        <v>34</v>
      </c>
      <c r="C19" s="22" t="s">
        <v>35</v>
      </c>
      <c r="D19" s="9">
        <v>46021</v>
      </c>
      <c r="E19" s="9">
        <v>46023</v>
      </c>
      <c r="F19" s="9">
        <v>46387</v>
      </c>
      <c r="G19" s="10">
        <v>17620</v>
      </c>
      <c r="H19" s="10"/>
      <c r="I19" s="10"/>
      <c r="J19" s="10"/>
      <c r="K19" s="10"/>
      <c r="L19" s="10">
        <v>500</v>
      </c>
      <c r="M19" s="10">
        <v>21762.799999999999</v>
      </c>
    </row>
    <row r="20" spans="1:13" x14ac:dyDescent="0.25">
      <c r="A20" s="24">
        <v>2026</v>
      </c>
      <c r="B20" s="8" t="s">
        <v>36</v>
      </c>
      <c r="C20" s="22" t="s">
        <v>37</v>
      </c>
      <c r="D20" s="9">
        <v>46021</v>
      </c>
      <c r="E20" s="9">
        <v>46023</v>
      </c>
      <c r="F20" s="9">
        <v>46387</v>
      </c>
      <c r="G20" s="10">
        <v>156508.51999999999</v>
      </c>
      <c r="H20" s="10">
        <v>8493.14</v>
      </c>
      <c r="I20" s="10"/>
      <c r="J20" s="10">
        <v>15000</v>
      </c>
      <c r="K20" s="10">
        <f>G20-H20-I20-J20</f>
        <v>133015.38</v>
      </c>
      <c r="L20" s="10">
        <v>300</v>
      </c>
      <c r="M20" s="10">
        <v>192638.23</v>
      </c>
    </row>
    <row r="21" spans="1:13" x14ac:dyDescent="0.25">
      <c r="F21" s="11" t="s">
        <v>38</v>
      </c>
      <c r="G21" s="12">
        <f>SUM(G9:G20)</f>
        <v>2271056.8199999998</v>
      </c>
      <c r="H21" s="13">
        <f>SUM(H9:H20)</f>
        <v>8493.14</v>
      </c>
      <c r="I21" s="13">
        <f t="shared" ref="I21:M21" si="0">SUM(I9:I20)</f>
        <v>0</v>
      </c>
      <c r="J21" s="13">
        <f t="shared" si="0"/>
        <v>15000</v>
      </c>
      <c r="K21" s="13">
        <f t="shared" si="0"/>
        <v>133015.38</v>
      </c>
      <c r="L21" s="13">
        <f t="shared" si="0"/>
        <v>3700</v>
      </c>
      <c r="M21" s="13">
        <f t="shared" si="0"/>
        <v>2686307.71</v>
      </c>
    </row>
    <row r="24" spans="1:13" x14ac:dyDescent="0.25">
      <c r="B24" s="14" t="s">
        <v>8</v>
      </c>
      <c r="C24" s="14" t="s">
        <v>39</v>
      </c>
      <c r="D24" s="14" t="s">
        <v>40</v>
      </c>
      <c r="E24" s="14" t="s">
        <v>41</v>
      </c>
      <c r="F24" s="14" t="s">
        <v>42</v>
      </c>
      <c r="G24" s="14" t="s">
        <v>43</v>
      </c>
    </row>
    <row r="25" spans="1:13" x14ac:dyDescent="0.25">
      <c r="B25" s="8" t="s">
        <v>44</v>
      </c>
      <c r="C25" s="13">
        <f>H20</f>
        <v>8493.14</v>
      </c>
      <c r="D25" s="15">
        <v>0.05</v>
      </c>
      <c r="E25" s="10">
        <f>C25*D25</f>
        <v>424.65699999999998</v>
      </c>
      <c r="F25" s="10">
        <v>424.66</v>
      </c>
      <c r="G25" s="16">
        <f>F25-E25</f>
        <v>3.0000000000427463E-3</v>
      </c>
    </row>
    <row r="26" spans="1:13" x14ac:dyDescent="0.25">
      <c r="B26" s="8" t="s">
        <v>45</v>
      </c>
      <c r="C26" s="13">
        <f>K20</f>
        <v>133015.38</v>
      </c>
      <c r="D26" s="15">
        <v>0.1</v>
      </c>
      <c r="E26" s="10">
        <f t="shared" ref="E26:E32" si="1">C26*D26</f>
        <v>13301.538</v>
      </c>
      <c r="F26" s="10">
        <v>13301.54</v>
      </c>
      <c r="G26" s="16">
        <f t="shared" ref="G26:G36" si="2">F26-E26</f>
        <v>2.0000000004074536E-3</v>
      </c>
    </row>
    <row r="27" spans="1:13" x14ac:dyDescent="0.25">
      <c r="B27" s="8" t="s">
        <v>15</v>
      </c>
      <c r="C27" s="13">
        <f>J20</f>
        <v>15000</v>
      </c>
      <c r="D27" s="17">
        <v>7.4999999999999997E-2</v>
      </c>
      <c r="E27" s="10">
        <f t="shared" si="1"/>
        <v>1125</v>
      </c>
      <c r="F27" s="10">
        <v>1125</v>
      </c>
      <c r="G27" s="16">
        <f t="shared" si="2"/>
        <v>0</v>
      </c>
    </row>
    <row r="28" spans="1:13" x14ac:dyDescent="0.25">
      <c r="B28" s="8" t="s">
        <v>46</v>
      </c>
      <c r="C28" s="13">
        <f>G15+G16</f>
        <v>1849352.79</v>
      </c>
      <c r="D28" s="15">
        <v>0.08</v>
      </c>
      <c r="E28" s="10">
        <f t="shared" si="1"/>
        <v>147948.22320000001</v>
      </c>
      <c r="F28" s="10">
        <v>147948.22</v>
      </c>
      <c r="G28" s="16">
        <f t="shared" si="2"/>
        <v>-3.2000000064726919E-3</v>
      </c>
    </row>
    <row r="29" spans="1:13" x14ac:dyDescent="0.25">
      <c r="B29" s="8" t="s">
        <v>47</v>
      </c>
      <c r="C29" s="16">
        <f>G9+G10+G11+G12+G13+G14</f>
        <v>152410.51</v>
      </c>
      <c r="D29" s="15">
        <v>0.05</v>
      </c>
      <c r="E29" s="10">
        <f t="shared" si="1"/>
        <v>7620.5255000000006</v>
      </c>
      <c r="F29" s="10">
        <v>7620.53</v>
      </c>
      <c r="G29" s="16">
        <f t="shared" si="2"/>
        <v>4.4999999990977813E-3</v>
      </c>
    </row>
    <row r="30" spans="1:13" x14ac:dyDescent="0.25">
      <c r="B30" s="8" t="s">
        <v>48</v>
      </c>
      <c r="C30" s="16">
        <f>G17</f>
        <v>80000</v>
      </c>
      <c r="D30" s="15">
        <v>0.08</v>
      </c>
      <c r="E30" s="10">
        <f t="shared" si="1"/>
        <v>6400</v>
      </c>
      <c r="F30" s="10">
        <v>6400</v>
      </c>
      <c r="G30" s="16">
        <f t="shared" si="2"/>
        <v>0</v>
      </c>
    </row>
    <row r="31" spans="1:13" x14ac:dyDescent="0.25">
      <c r="B31" s="8" t="s">
        <v>49</v>
      </c>
      <c r="C31" s="16">
        <f>G19</f>
        <v>17620</v>
      </c>
      <c r="D31" s="15">
        <v>0.1</v>
      </c>
      <c r="E31" s="10">
        <f t="shared" si="1"/>
        <v>1762</v>
      </c>
      <c r="F31" s="10">
        <v>1762</v>
      </c>
      <c r="G31" s="16">
        <f t="shared" si="2"/>
        <v>0</v>
      </c>
    </row>
    <row r="32" spans="1:13" x14ac:dyDescent="0.25">
      <c r="B32" s="8" t="s">
        <v>50</v>
      </c>
      <c r="C32" s="13">
        <f>G18</f>
        <v>15165</v>
      </c>
      <c r="D32" s="15">
        <v>0.08</v>
      </c>
      <c r="E32" s="10">
        <f t="shared" si="1"/>
        <v>1213.2</v>
      </c>
      <c r="F32" s="10">
        <v>1213.2</v>
      </c>
      <c r="G32" s="16">
        <f t="shared" si="2"/>
        <v>0</v>
      </c>
    </row>
    <row r="33" spans="2:12" x14ac:dyDescent="0.25">
      <c r="B33" s="8" t="s">
        <v>38</v>
      </c>
      <c r="C33" s="13">
        <f>SUM(C25:C32)</f>
        <v>2271056.8200000003</v>
      </c>
      <c r="D33" s="8"/>
      <c r="E33" s="10"/>
      <c r="F33" s="10"/>
      <c r="G33" s="16">
        <f t="shared" si="2"/>
        <v>0</v>
      </c>
    </row>
    <row r="34" spans="2:12" x14ac:dyDescent="0.25">
      <c r="C34" s="18">
        <f>C33-G21</f>
        <v>0</v>
      </c>
      <c r="D34" s="19" t="s">
        <v>51</v>
      </c>
      <c r="E34" s="20">
        <f>SUM(E25:E33)</f>
        <v>179795.14370000002</v>
      </c>
      <c r="F34" s="20">
        <f>SUM(F25:F33)</f>
        <v>179795.15000000002</v>
      </c>
      <c r="G34" s="21">
        <f t="shared" si="2"/>
        <v>6.3000000081956387E-3</v>
      </c>
    </row>
    <row r="35" spans="2:12" x14ac:dyDescent="0.25">
      <c r="D35" s="19" t="s">
        <v>52</v>
      </c>
      <c r="E35" s="20">
        <f>E34*9%</f>
        <v>16181.562933000001</v>
      </c>
      <c r="F35" s="20">
        <f>F34*9%</f>
        <v>16181.563500000002</v>
      </c>
      <c r="G35" s="21">
        <f t="shared" si="2"/>
        <v>5.6700000095588621E-4</v>
      </c>
    </row>
    <row r="36" spans="2:12" x14ac:dyDescent="0.25">
      <c r="D36" s="19" t="s">
        <v>53</v>
      </c>
      <c r="E36" s="20">
        <f>E34+E35</f>
        <v>195976.70663300002</v>
      </c>
      <c r="F36" s="20">
        <f>F34+F35</f>
        <v>195976.71350000001</v>
      </c>
      <c r="G36" s="21">
        <f t="shared" si="2"/>
        <v>6.8669999891426414E-3</v>
      </c>
    </row>
    <row r="38" spans="2:12" ht="18.75" x14ac:dyDescent="0.3">
      <c r="C38" s="26" t="s">
        <v>54</v>
      </c>
      <c r="D38" s="26"/>
      <c r="E38" s="26"/>
      <c r="F38" s="26"/>
      <c r="G38" s="26"/>
      <c r="H38" s="26"/>
      <c r="I38" s="26"/>
      <c r="J38" s="26"/>
      <c r="K38" s="26"/>
      <c r="L38" s="26"/>
    </row>
  </sheetData>
  <mergeCells count="2">
    <mergeCell ref="A3:L3"/>
    <mergeCell ref="C38:L38"/>
  </mergeCells>
  <pageMargins left="0.25" right="0.25" top="0.75" bottom="0.75" header="0.3" footer="0.3"/>
  <pageSetup paperSize="9" scale="8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2026-10-25T08:35:00Z</cp:lastPrinted>
  <dcterms:created xsi:type="dcterms:W3CDTF">2026-10-25T07:40:03Z</dcterms:created>
  <dcterms:modified xsi:type="dcterms:W3CDTF">2026-10-25T08:35:05Z</dcterms:modified>
</cp:coreProperties>
</file>